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D:\GITHUB FILES\"/>
    </mc:Choice>
  </mc:AlternateContent>
  <xr:revisionPtr revIDLastSave="0" documentId="8_{87A5648B-0803-4A37-8DE7-2D99143C95B3}" xr6:coauthVersionLast="47" xr6:coauthVersionMax="47" xr10:uidLastSave="{00000000-0000-0000-0000-000000000000}"/>
  <bookViews>
    <workbookView xWindow="-108" yWindow="-108" windowWidth="23256" windowHeight="12456" firstSheet="1" activeTab="7" xr2:uid="{00000000-000D-0000-FFFF-FFFF00000000}"/>
  </bookViews>
  <sheets>
    <sheet name="CHART 1" sheetId="3" r:id="rId1"/>
    <sheet name="Sheet2" sheetId="4" r:id="rId2"/>
    <sheet name="Sheet3" sheetId="5" r:id="rId3"/>
    <sheet name="Sheet4" sheetId="6" r:id="rId4"/>
    <sheet name="Sheet5" sheetId="7" r:id="rId5"/>
    <sheet name="RAW DATA" sheetId="1" r:id="rId6"/>
    <sheet name="RECEIPT" sheetId="10" r:id="rId7"/>
    <sheet name="DASHBOARD" sheetId="2" r:id="rId8"/>
  </sheets>
  <definedNames>
    <definedName name="Slicer_REGION_PRODUCT_NAME">#N/A</definedName>
    <definedName name="Slicer_SALESPERS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 i="10" l="1"/>
  <c r="F16" i="10"/>
  <c r="F17" i="10"/>
  <c r="F18" i="10"/>
  <c r="F19" i="10"/>
  <c r="F20" i="10"/>
  <c r="F14" i="10"/>
  <c r="D14" i="10"/>
  <c r="D15" i="10"/>
  <c r="D16" i="10"/>
  <c r="D17" i="10"/>
  <c r="D18" i="10"/>
  <c r="D19" i="10"/>
  <c r="D20" i="10"/>
  <c r="C11" i="10"/>
  <c r="C12" i="10"/>
  <c r="C13" i="10"/>
  <c r="C14" i="10"/>
  <c r="C15" i="10"/>
  <c r="C16" i="10"/>
  <c r="C17" i="10"/>
  <c r="C18" i="10"/>
  <c r="C19" i="10"/>
  <c r="C20" i="10"/>
  <c r="B11" i="10"/>
  <c r="B12" i="10"/>
  <c r="B13" i="10"/>
  <c r="B14" i="10"/>
  <c r="B15" i="10"/>
  <c r="B16" i="10"/>
  <c r="B17" i="10"/>
  <c r="B18" i="10"/>
  <c r="B19" i="10"/>
  <c r="B20" i="10"/>
  <c r="C10" i="10"/>
  <c r="B10" i="10"/>
  <c r="H14" i="10" l="1"/>
  <c r="H15" i="10"/>
  <c r="H16" i="10"/>
  <c r="H17" i="10"/>
  <c r="H18" i="10"/>
  <c r="H19" i="10"/>
  <c r="H20" i="10"/>
  <c r="I3" i="1" l="1"/>
  <c r="D10" i="10" s="1"/>
  <c r="I4" i="1"/>
  <c r="D11" i="10" s="1"/>
  <c r="F11" i="10" s="1"/>
  <c r="G11" i="10" s="1"/>
  <c r="H11" i="10" s="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D12" i="10" s="1"/>
  <c r="F12" i="10" s="1"/>
  <c r="I104" i="1"/>
  <c r="I105" i="1"/>
  <c r="D13" i="10" s="1"/>
  <c r="F13" i="10" s="1"/>
  <c r="I106" i="1"/>
  <c r="I107" i="1"/>
  <c r="I108" i="1"/>
  <c r="I109" i="1"/>
  <c r="I110" i="1"/>
  <c r="I111" i="1"/>
  <c r="I112" i="1"/>
  <c r="I113" i="1"/>
  <c r="I114" i="1"/>
  <c r="I115" i="1"/>
  <c r="I116" i="1"/>
  <c r="I117" i="1"/>
  <c r="I118" i="1"/>
  <c r="I119" i="1"/>
  <c r="I120" i="1"/>
  <c r="I121"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2" i="1"/>
  <c r="G12" i="10" l="1"/>
  <c r="H12" i="10"/>
  <c r="G13" i="10"/>
  <c r="H13" i="10" s="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2" i="1"/>
  <c r="B112" i="1"/>
  <c r="B107" i="1"/>
  <c r="B98" i="1"/>
  <c r="B83" i="1"/>
  <c r="B70" i="1"/>
  <c r="B52" i="1"/>
  <c r="B43" i="1"/>
  <c r="B28" i="1"/>
  <c r="B13" i="1"/>
  <c r="B2" i="1"/>
  <c r="F10" i="10" l="1"/>
  <c r="G10" i="10" s="1"/>
  <c r="H10" i="10" s="1"/>
  <c r="H21" i="10" s="1"/>
</calcChain>
</file>

<file path=xl/sharedStrings.xml><?xml version="1.0" encoding="utf-8"?>
<sst xmlns="http://schemas.openxmlformats.org/spreadsheetml/2006/main" count="657" uniqueCount="55">
  <si>
    <t>ORDER ID</t>
  </si>
  <si>
    <t>CITY</t>
  </si>
  <si>
    <t>COMPANY NAME</t>
  </si>
  <si>
    <t>SALESPERSON</t>
  </si>
  <si>
    <t xml:space="preserve">REGION PRODUCT NAME </t>
  </si>
  <si>
    <t>CATEGORY</t>
  </si>
  <si>
    <t>ORDER DATE</t>
  </si>
  <si>
    <t>TESLA</t>
  </si>
  <si>
    <t>AMAZON</t>
  </si>
  <si>
    <t>FLIPKART</t>
  </si>
  <si>
    <t>UBER</t>
  </si>
  <si>
    <t>SHOPSY</t>
  </si>
  <si>
    <t xml:space="preserve">PUNE </t>
  </si>
  <si>
    <t>HYDERABAD</t>
  </si>
  <si>
    <t>MUMBAI</t>
  </si>
  <si>
    <t>GURGAON</t>
  </si>
  <si>
    <t>DELHI</t>
  </si>
  <si>
    <t>NOIDA</t>
  </si>
  <si>
    <t>AMIT</t>
  </si>
  <si>
    <t>SUMIT</t>
  </si>
  <si>
    <t>AMAN</t>
  </si>
  <si>
    <t>SAM</t>
  </si>
  <si>
    <t>PRIYA</t>
  </si>
  <si>
    <t>WEST</t>
  </si>
  <si>
    <t>SOUTH</t>
  </si>
  <si>
    <t>NORTH</t>
  </si>
  <si>
    <t>COKE</t>
  </si>
  <si>
    <t>CAKE</t>
  </si>
  <si>
    <t>PIZZA</t>
  </si>
  <si>
    <t>BURGER</t>
  </si>
  <si>
    <t>PASTRY</t>
  </si>
  <si>
    <t>BEVERAGE</t>
  </si>
  <si>
    <t>DESSERT</t>
  </si>
  <si>
    <t>MAIN COURSE</t>
  </si>
  <si>
    <t>PRODUCT</t>
  </si>
  <si>
    <t>UNIT PRICE</t>
  </si>
  <si>
    <t>QUANTITY</t>
  </si>
  <si>
    <t>TOTAL INCOME</t>
  </si>
  <si>
    <t>Row Labels</t>
  </si>
  <si>
    <t>Grand Total</t>
  </si>
  <si>
    <t>Apr</t>
  </si>
  <si>
    <t>May</t>
  </si>
  <si>
    <t>Jun</t>
  </si>
  <si>
    <t>Aug</t>
  </si>
  <si>
    <t>Sep</t>
  </si>
  <si>
    <t>Sum of TOTAL INCOME</t>
  </si>
  <si>
    <t>REGION</t>
  </si>
  <si>
    <t>PRICE</t>
  </si>
  <si>
    <t>AMOUNT</t>
  </si>
  <si>
    <t>GRAND TOTAL</t>
  </si>
  <si>
    <t>ALL INDIA FOOD BAAZAR</t>
  </si>
  <si>
    <t>ITEM NAME</t>
  </si>
  <si>
    <t>DISCOUNT</t>
  </si>
  <si>
    <t>S.R. NO.</t>
  </si>
  <si>
    <t>AMOUNT AFTER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</si>
</sst>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09]\ #,##0"/>
    <numFmt numFmtId="165" formatCode="[$₹-4009]\ #,##0.0"/>
  </numFmts>
  <fonts count="5" x14ac:knownFonts="1">
    <font>
      <sz val="11"/>
      <color theme="1"/>
      <name val="Calibri"/>
      <family val="2"/>
      <scheme val="minor"/>
    </font>
    <font>
      <b/>
      <sz val="11"/>
      <color theme="0"/>
      <name val="Calibri"/>
      <family val="2"/>
      <scheme val="minor"/>
    </font>
    <font>
      <sz val="48"/>
      <color rgb="FFFF0000"/>
      <name val="Bahnschrift SemiBold"/>
      <family val="2"/>
    </font>
    <font>
      <b/>
      <sz val="16"/>
      <color theme="0"/>
      <name val="Calibri"/>
      <family val="2"/>
      <scheme val="minor"/>
    </font>
    <font>
      <b/>
      <u/>
      <sz val="24"/>
      <color theme="1"/>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4"/>
        <bgColor theme="4"/>
      </patternFill>
    </fill>
    <fill>
      <patternFill patternType="solid">
        <fgColor theme="8" tint="0.39997558519241921"/>
        <bgColor indexed="64"/>
      </patternFill>
    </fill>
  </fills>
  <borders count="8">
    <border>
      <left/>
      <right/>
      <top/>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0" borderId="1" xfId="0" applyBorder="1"/>
    <xf numFmtId="0" fontId="0" fillId="0" borderId="2" xfId="0" applyBorder="1"/>
    <xf numFmtId="14" fontId="0" fillId="0" borderId="1" xfId="0" applyNumberFormat="1" applyBorder="1"/>
    <xf numFmtId="0" fontId="0" fillId="0" borderId="3" xfId="0" applyBorder="1"/>
    <xf numFmtId="0" fontId="1" fillId="5" borderId="4" xfId="0" applyFont="1" applyFill="1" applyBorder="1"/>
    <xf numFmtId="0" fontId="1" fillId="5" borderId="5" xfId="0" applyFont="1" applyFill="1" applyBorder="1"/>
    <xf numFmtId="0" fontId="1" fillId="5" borderId="6" xfId="0" applyFont="1" applyFill="1" applyBorder="1"/>
    <xf numFmtId="0" fontId="0" fillId="3" borderId="4" xfId="0" applyFill="1" applyBorder="1"/>
    <xf numFmtId="14" fontId="0" fillId="3" borderId="5" xfId="0" applyNumberFormat="1" applyFill="1" applyBorder="1"/>
    <xf numFmtId="0" fontId="0" fillId="3" borderId="5" xfId="0" applyFill="1" applyBorder="1"/>
    <xf numFmtId="0" fontId="0" fillId="3" borderId="6" xfId="0" applyFill="1" applyBorder="1"/>
    <xf numFmtId="0" fontId="0" fillId="0" borderId="4" xfId="0" applyBorder="1"/>
    <xf numFmtId="14" fontId="0" fillId="0" borderId="5" xfId="0" applyNumberFormat="1" applyBorder="1"/>
    <xf numFmtId="0" fontId="0" fillId="0" borderId="5" xfId="0" applyBorder="1"/>
    <xf numFmtId="0" fontId="0" fillId="0" borderId="6" xfId="0" applyBorder="1"/>
    <xf numFmtId="0" fontId="0" fillId="0" borderId="7" xfId="0" applyBorder="1"/>
    <xf numFmtId="164" fontId="0" fillId="0" borderId="7" xfId="0" applyNumberFormat="1" applyBorder="1"/>
    <xf numFmtId="165" fontId="0" fillId="0" borderId="7" xfId="0" applyNumberFormat="1" applyBorder="1"/>
    <xf numFmtId="0" fontId="3" fillId="6" borderId="7" xfId="0" applyFont="1" applyFill="1" applyBorder="1" applyAlignment="1">
      <alignment horizontal="center" vertical="center"/>
    </xf>
    <xf numFmtId="0" fontId="2" fillId="4" borderId="7" xfId="0" applyFont="1" applyFill="1" applyBorder="1" applyAlignment="1">
      <alignment horizontal="center" vertical="center"/>
    </xf>
    <xf numFmtId="0" fontId="4" fillId="0" borderId="7" xfId="0" applyFont="1" applyBorder="1" applyAlignment="1">
      <alignment horizontal="center" vertical="center"/>
    </xf>
    <xf numFmtId="0" fontId="0" fillId="0" borderId="7" xfId="0" applyBorder="1" applyAlignment="1">
      <alignment horizontal="center"/>
    </xf>
    <xf numFmtId="0" fontId="0" fillId="0" borderId="0" xfId="0" applyAlignment="1">
      <alignment horizontal="center"/>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1.xlsx]CHART 1!PivotTable1</c:name>
    <c:fmtId val="11"/>
  </c:pivotSource>
  <c:chart>
    <c:title>
      <c:tx>
        <c:rich>
          <a:bodyPr rot="0" spcFirstLastPara="1" vertOverflow="ellipsis" vert="horz" wrap="square" anchor="ctr" anchorCtr="1"/>
          <a:lstStyle/>
          <a:p>
            <a:pPr>
              <a:defRPr sz="1400" b="0" i="0" u="none" strike="noStrike" kern="1200" spc="0" baseline="0">
                <a:solidFill>
                  <a:schemeClr val="dk1"/>
                </a:solidFill>
                <a:latin typeface="Algerian" panose="04020705040A02060702" pitchFamily="82" charset="0"/>
                <a:ea typeface="+mn-ea"/>
                <a:cs typeface="+mn-cs"/>
              </a:defRPr>
            </a:pPr>
            <a:r>
              <a:rPr lang="en-US" sz="1400">
                <a:latin typeface="Algerian" panose="04020705040A02060702" pitchFamily="82" charset="0"/>
              </a:rPr>
              <a:t>TOTAL SALES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Algerian" panose="04020705040A02060702" pitchFamily="82"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quot;₹&quot;\ #,##0.0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4.9937500000000003E-2"/>
              <c:y val="-0.11636388888888895"/>
            </c:manualLayout>
          </c:layout>
          <c:numFmt formatCode="&quot;₹&quot;\ #,##0.0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7.7745949074074075E-2"/>
              <c:y val="-0.13047500000000001"/>
            </c:manualLayout>
          </c:layout>
          <c:numFmt formatCode="&quot;₹&quot;\ #,##0.0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 1'!$B$3</c:f>
              <c:strCache>
                <c:ptCount val="1"/>
                <c:pt idx="0">
                  <c:v>Total</c:v>
                </c:pt>
              </c:strCache>
            </c:strRef>
          </c:tx>
          <c:spPr>
            <a:ln w="28575" cap="rnd">
              <a:solidFill>
                <a:schemeClr val="accent1"/>
              </a:solidFill>
              <a:round/>
            </a:ln>
            <a:effectLst/>
          </c:spPr>
          <c:marker>
            <c:symbol val="none"/>
          </c:marker>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2-6304-4065-A7CD-7F322FF3DE3C}"/>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1-6304-4065-A7CD-7F322FF3DE3C}"/>
              </c:ext>
            </c:extLst>
          </c:dPt>
          <c:dLbls>
            <c:dLbl>
              <c:idx val="2"/>
              <c:layout>
                <c:manualLayout>
                  <c:x val="-7.7745949074074075E-2"/>
                  <c:y val="-0.1304750000000000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04-4065-A7CD-7F322FF3DE3C}"/>
                </c:ext>
              </c:extLst>
            </c:dLbl>
            <c:dLbl>
              <c:idx val="4"/>
              <c:layout>
                <c:manualLayout>
                  <c:x val="-4.9937500000000003E-2"/>
                  <c:y val="-0.1163638888888889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304-4065-A7CD-7F322FF3DE3C}"/>
                </c:ext>
              </c:extLst>
            </c:dLbl>
            <c:numFmt formatCode="&quot;₹&quot;\ #,##0.0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1'!$A$4:$A$9</c:f>
              <c:strCache>
                <c:ptCount val="5"/>
                <c:pt idx="0">
                  <c:v>Apr</c:v>
                </c:pt>
                <c:pt idx="1">
                  <c:v>May</c:v>
                </c:pt>
                <c:pt idx="2">
                  <c:v>Jun</c:v>
                </c:pt>
                <c:pt idx="3">
                  <c:v>Aug</c:v>
                </c:pt>
                <c:pt idx="4">
                  <c:v>Sep</c:v>
                </c:pt>
              </c:strCache>
            </c:strRef>
          </c:cat>
          <c:val>
            <c:numRef>
              <c:f>'CHART 1'!$B$4:$B$9</c:f>
              <c:numCache>
                <c:formatCode>General</c:formatCode>
                <c:ptCount val="5"/>
                <c:pt idx="0">
                  <c:v>2040</c:v>
                </c:pt>
                <c:pt idx="1">
                  <c:v>5190</c:v>
                </c:pt>
                <c:pt idx="2">
                  <c:v>2540</c:v>
                </c:pt>
                <c:pt idx="3">
                  <c:v>8700</c:v>
                </c:pt>
                <c:pt idx="4">
                  <c:v>2280</c:v>
                </c:pt>
              </c:numCache>
            </c:numRef>
          </c:val>
          <c:smooth val="0"/>
          <c:extLst>
            <c:ext xmlns:c16="http://schemas.microsoft.com/office/drawing/2014/chart" uri="{C3380CC4-5D6E-409C-BE32-E72D297353CC}">
              <c16:uniqueId val="{00000000-6304-4065-A7CD-7F322FF3DE3C}"/>
            </c:ext>
          </c:extLst>
        </c:ser>
        <c:dLbls>
          <c:showLegendKey val="0"/>
          <c:showVal val="0"/>
          <c:showCatName val="0"/>
          <c:showSerName val="0"/>
          <c:showPercent val="0"/>
          <c:showBubbleSize val="0"/>
        </c:dLbls>
        <c:smooth val="0"/>
        <c:axId val="290152688"/>
        <c:axId val="290157176"/>
      </c:lineChart>
      <c:catAx>
        <c:axId val="29015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90157176"/>
        <c:crosses val="autoZero"/>
        <c:auto val="1"/>
        <c:lblAlgn val="ctr"/>
        <c:lblOffset val="100"/>
        <c:noMultiLvlLbl val="0"/>
      </c:catAx>
      <c:valAx>
        <c:axId val="290157176"/>
        <c:scaling>
          <c:orientation val="minMax"/>
        </c:scaling>
        <c:delete val="1"/>
        <c:axPos val="l"/>
        <c:numFmt formatCode="General" sourceLinked="1"/>
        <c:majorTickMark val="none"/>
        <c:minorTickMark val="none"/>
        <c:tickLblPos val="nextTo"/>
        <c:crossAx val="290152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1.xlsx]Sheet2!PivotTable2</c:name>
    <c:fmtId val="2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TOTAL INCOMES OF DIFFERENT SALESPERSON</a:t>
            </a:r>
          </a:p>
        </c:rich>
      </c:tx>
      <c:layout>
        <c:manualLayout>
          <c:xMode val="edge"/>
          <c:yMode val="edge"/>
          <c:x val="0.1125692137320044"/>
          <c:y val="1.83150183150183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barChart>
        <c:barDir val="bar"/>
        <c:grouping val="clustered"/>
        <c:varyColors val="1"/>
        <c:ser>
          <c:idx val="0"/>
          <c:order val="0"/>
          <c:tx>
            <c:strRef>
              <c:f>Sheet2!$B$3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AA3D-4DA3-A3C1-9189357AC0D3}"/>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AA3D-4DA3-A3C1-9189357AC0D3}"/>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AA3D-4DA3-A3C1-9189357AC0D3}"/>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AA3D-4DA3-A3C1-9189357AC0D3}"/>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AA3D-4DA3-A3C1-9189357AC0D3}"/>
              </c:ext>
            </c:extLst>
          </c:dPt>
          <c:cat>
            <c:strRef>
              <c:f>Sheet2!$A$4:$A$9</c:f>
              <c:strCache>
                <c:ptCount val="5"/>
                <c:pt idx="0">
                  <c:v>AMAN</c:v>
                </c:pt>
                <c:pt idx="1">
                  <c:v>AMIT</c:v>
                </c:pt>
                <c:pt idx="2">
                  <c:v>PRIYA</c:v>
                </c:pt>
                <c:pt idx="3">
                  <c:v>SAM</c:v>
                </c:pt>
                <c:pt idx="4">
                  <c:v>SUMIT</c:v>
                </c:pt>
              </c:strCache>
            </c:strRef>
          </c:cat>
          <c:val>
            <c:numRef>
              <c:f>Sheet2!$B$4:$B$9</c:f>
              <c:numCache>
                <c:formatCode>General</c:formatCode>
                <c:ptCount val="5"/>
                <c:pt idx="0">
                  <c:v>4110</c:v>
                </c:pt>
                <c:pt idx="1">
                  <c:v>4150</c:v>
                </c:pt>
                <c:pt idx="2">
                  <c:v>3200</c:v>
                </c:pt>
                <c:pt idx="3">
                  <c:v>4000</c:v>
                </c:pt>
                <c:pt idx="4">
                  <c:v>5290</c:v>
                </c:pt>
              </c:numCache>
            </c:numRef>
          </c:val>
          <c:extLst>
            <c:ext xmlns:c16="http://schemas.microsoft.com/office/drawing/2014/chart" uri="{C3380CC4-5D6E-409C-BE32-E72D297353CC}">
              <c16:uniqueId val="{00000000-4BD2-49F4-B389-135DE0A35946}"/>
            </c:ext>
          </c:extLst>
        </c:ser>
        <c:dLbls>
          <c:showLegendKey val="0"/>
          <c:showVal val="0"/>
          <c:showCatName val="0"/>
          <c:showSerName val="0"/>
          <c:showPercent val="0"/>
          <c:showBubbleSize val="0"/>
        </c:dLbls>
        <c:gapWidth val="182"/>
        <c:axId val="289764448"/>
        <c:axId val="244754056"/>
      </c:barChart>
      <c:catAx>
        <c:axId val="289764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44754056"/>
        <c:crosses val="autoZero"/>
        <c:auto val="1"/>
        <c:lblAlgn val="ctr"/>
        <c:lblOffset val="100"/>
        <c:noMultiLvlLbl val="0"/>
      </c:catAx>
      <c:valAx>
        <c:axId val="244754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8976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DASHBOARD 1.xlsx]Sheet3!PivotTable3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3 CATEGORIES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alpha val="85000"/>
            </a:schemeClr>
          </a:solidFill>
          <a:ln w="9525" cap="flat" cmpd="sng" algn="ctr">
            <a:solidFill>
              <a:schemeClr val="lt1">
                <a:alpha val="50000"/>
              </a:schemeClr>
            </a:solidFill>
            <a:round/>
          </a:ln>
          <a:effectLst/>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lt1">
                <a:alpha val="50000"/>
              </a:schemeClr>
            </a:solidFill>
            <a:round/>
          </a:ln>
          <a:effectLst/>
        </c:spPr>
      </c:pivotFmt>
      <c:pivotFmt>
        <c:idx val="3"/>
        <c:spPr>
          <a:solidFill>
            <a:schemeClr val="accent5">
              <a:alpha val="85000"/>
            </a:schemeClr>
          </a:solidFill>
          <a:ln w="9525" cap="flat" cmpd="sng" algn="ctr">
            <a:solidFill>
              <a:schemeClr val="lt1">
                <a:alpha val="50000"/>
              </a:schemeClr>
            </a:solidFill>
            <a:round/>
          </a:ln>
          <a:effectLst/>
        </c:spPr>
      </c:pivotFmt>
      <c:pivotFmt>
        <c:idx val="4"/>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Sheet3!$A$4:$A$7</c:f>
              <c:strCache>
                <c:ptCount val="3"/>
                <c:pt idx="0">
                  <c:v>BEVERAGE</c:v>
                </c:pt>
                <c:pt idx="1">
                  <c:v>DESSERT</c:v>
                </c:pt>
                <c:pt idx="2">
                  <c:v>MAIN COURSE</c:v>
                </c:pt>
              </c:strCache>
            </c:strRef>
          </c:cat>
          <c:val>
            <c:numRef>
              <c:f>Sheet3!$B$4:$B$7</c:f>
              <c:numCache>
                <c:formatCode>General</c:formatCode>
                <c:ptCount val="3"/>
                <c:pt idx="0">
                  <c:v>1360</c:v>
                </c:pt>
                <c:pt idx="1">
                  <c:v>6170</c:v>
                </c:pt>
                <c:pt idx="2">
                  <c:v>13220</c:v>
                </c:pt>
              </c:numCache>
            </c:numRef>
          </c:val>
          <c:extLst>
            <c:ext xmlns:c16="http://schemas.microsoft.com/office/drawing/2014/chart" uri="{C3380CC4-5D6E-409C-BE32-E72D297353CC}">
              <c16:uniqueId val="{00000000-5BF7-465A-8F50-B1D1E8743DC8}"/>
            </c:ext>
          </c:extLst>
        </c:ser>
        <c:dLbls>
          <c:dLblPos val="inEnd"/>
          <c:showLegendKey val="0"/>
          <c:showVal val="1"/>
          <c:showCatName val="0"/>
          <c:showSerName val="0"/>
          <c:showPercent val="0"/>
          <c:showBubbleSize val="0"/>
        </c:dLbls>
        <c:gapWidth val="65"/>
        <c:axId val="290211688"/>
        <c:axId val="290212072"/>
      </c:barChart>
      <c:catAx>
        <c:axId val="29021168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a:glow>
              <a:schemeClr val="accent1"/>
            </a:glow>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90212072"/>
        <c:crosses val="autoZero"/>
        <c:auto val="1"/>
        <c:lblAlgn val="ctr"/>
        <c:lblOffset val="100"/>
        <c:noMultiLvlLbl val="0"/>
      </c:catAx>
      <c:valAx>
        <c:axId val="290212072"/>
        <c:scaling>
          <c:orientation val="minMax"/>
        </c:scaling>
        <c:delete val="1"/>
        <c:axPos val="b"/>
        <c:numFmt formatCode="General" sourceLinked="1"/>
        <c:majorTickMark val="none"/>
        <c:minorTickMark val="none"/>
        <c:tickLblPos val="nextTo"/>
        <c:crossAx val="290211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1.xlsx]Sheet4!PivotTable4</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Sheet4!$A$4:$A$7</c:f>
              <c:strCache>
                <c:ptCount val="3"/>
                <c:pt idx="0">
                  <c:v>NORTH</c:v>
                </c:pt>
                <c:pt idx="1">
                  <c:v>SOUTH</c:v>
                </c:pt>
                <c:pt idx="2">
                  <c:v>WEST</c:v>
                </c:pt>
              </c:strCache>
            </c:strRef>
          </c:cat>
          <c:val>
            <c:numRef>
              <c:f>Sheet4!$B$4:$B$7</c:f>
              <c:numCache>
                <c:formatCode>General</c:formatCode>
                <c:ptCount val="3"/>
                <c:pt idx="0">
                  <c:v>7650</c:v>
                </c:pt>
                <c:pt idx="1">
                  <c:v>4210</c:v>
                </c:pt>
                <c:pt idx="2">
                  <c:v>8890</c:v>
                </c:pt>
              </c:numCache>
            </c:numRef>
          </c:val>
          <c:extLst>
            <c:ext xmlns:c16="http://schemas.microsoft.com/office/drawing/2014/chart" uri="{C3380CC4-5D6E-409C-BE32-E72D297353CC}">
              <c16:uniqueId val="{00000000-269B-4B01-B666-0B7A27251FA1}"/>
            </c:ext>
          </c:extLst>
        </c:ser>
        <c:dLbls>
          <c:showLegendKey val="0"/>
          <c:showVal val="0"/>
          <c:showCatName val="0"/>
          <c:showSerName val="0"/>
          <c:showPercent val="0"/>
          <c:showBubbleSize val="0"/>
        </c:dLbls>
        <c:gapWidth val="100"/>
        <c:overlap val="-24"/>
        <c:axId val="291248368"/>
        <c:axId val="291253392"/>
      </c:barChart>
      <c:catAx>
        <c:axId val="2912483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1253392"/>
        <c:crosses val="autoZero"/>
        <c:auto val="1"/>
        <c:lblAlgn val="ctr"/>
        <c:lblOffset val="100"/>
        <c:noMultiLvlLbl val="0"/>
      </c:catAx>
      <c:valAx>
        <c:axId val="291253392"/>
        <c:scaling>
          <c:orientation val="minMax"/>
        </c:scaling>
        <c:delete val="1"/>
        <c:axPos val="l"/>
        <c:numFmt formatCode="General" sourceLinked="1"/>
        <c:majorTickMark val="none"/>
        <c:minorTickMark val="none"/>
        <c:tickLblPos val="nextTo"/>
        <c:crossAx val="29124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1.xlsx]Sheet5!PivotTable5</c:name>
    <c:fmtId val="3"/>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400">
                <a:latin typeface="Algerian" panose="04020705040A02060702" pitchFamily="82" charset="0"/>
              </a:rPr>
              <a:t>TOTAL</a:t>
            </a:r>
            <a:r>
              <a:rPr lang="en-US" sz="1400" baseline="0">
                <a:latin typeface="Algerian" panose="04020705040A02060702" pitchFamily="82" charset="0"/>
              </a:rPr>
              <a:t> </a:t>
            </a:r>
            <a:r>
              <a:rPr lang="en-US" sz="1400">
                <a:latin typeface="Algerian" panose="04020705040A02060702" pitchFamily="82" charset="0"/>
              </a:rPr>
              <a:t>INCOME</a:t>
            </a:r>
            <a:r>
              <a:rPr lang="en-US" sz="1400" baseline="0">
                <a:latin typeface="Algerian" panose="04020705040A02060702" pitchFamily="82" charset="0"/>
              </a:rPr>
              <a:t> BY DIFFERENT PRODUCTS</a:t>
            </a:r>
            <a:endParaRPr lang="en-US" sz="1400">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barChart>
        <c:barDir val="col"/>
        <c:grouping val="clustered"/>
        <c:varyColors val="1"/>
        <c:ser>
          <c:idx val="0"/>
          <c:order val="0"/>
          <c:tx>
            <c:strRef>
              <c:f>Sheet5!$B$3</c:f>
              <c:strCache>
                <c:ptCount val="1"/>
                <c:pt idx="0">
                  <c:v>Total</c:v>
                </c:pt>
              </c:strCache>
            </c:strRef>
          </c:tx>
          <c:invertIfNegative val="0"/>
          <c:dPt>
            <c:idx val="0"/>
            <c:invertIfNegative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5C53-49C4-AA66-90DDF518A693}"/>
              </c:ext>
            </c:extLst>
          </c:dPt>
          <c:dPt>
            <c:idx val="1"/>
            <c:invertIfNegative val="0"/>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5C53-49C4-AA66-90DDF518A693}"/>
              </c:ext>
            </c:extLst>
          </c:dPt>
          <c:dPt>
            <c:idx val="2"/>
            <c:invertIfNegative val="0"/>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5C53-49C4-AA66-90DDF518A693}"/>
              </c:ext>
            </c:extLst>
          </c:dPt>
          <c:dPt>
            <c:idx val="3"/>
            <c:invertIfNegative val="0"/>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5C53-49C4-AA66-90DDF518A693}"/>
              </c:ext>
            </c:extLst>
          </c:dPt>
          <c:dPt>
            <c:idx val="4"/>
            <c:invertIfNegative val="0"/>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5C53-49C4-AA66-90DDF518A693}"/>
              </c:ext>
            </c:extLst>
          </c:dPt>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Sheet5!$A$4:$A$9</c:f>
              <c:strCache>
                <c:ptCount val="5"/>
                <c:pt idx="0">
                  <c:v>BURGER</c:v>
                </c:pt>
                <c:pt idx="1">
                  <c:v>CAKE</c:v>
                </c:pt>
                <c:pt idx="2">
                  <c:v>COKE</c:v>
                </c:pt>
                <c:pt idx="3">
                  <c:v>PASTRY</c:v>
                </c:pt>
                <c:pt idx="4">
                  <c:v>PIZZA</c:v>
                </c:pt>
              </c:strCache>
            </c:strRef>
          </c:cat>
          <c:val>
            <c:numRef>
              <c:f>Sheet5!$B$4:$B$9</c:f>
              <c:numCache>
                <c:formatCode>General</c:formatCode>
                <c:ptCount val="5"/>
                <c:pt idx="0">
                  <c:v>5920</c:v>
                </c:pt>
                <c:pt idx="1">
                  <c:v>4450</c:v>
                </c:pt>
                <c:pt idx="2">
                  <c:v>1360</c:v>
                </c:pt>
                <c:pt idx="3">
                  <c:v>1720</c:v>
                </c:pt>
                <c:pt idx="4">
                  <c:v>7300</c:v>
                </c:pt>
              </c:numCache>
            </c:numRef>
          </c:val>
          <c:extLst>
            <c:ext xmlns:c16="http://schemas.microsoft.com/office/drawing/2014/chart" uri="{C3380CC4-5D6E-409C-BE32-E72D297353CC}">
              <c16:uniqueId val="{00000000-F47E-4247-B7E5-536913A2F5B0}"/>
            </c:ext>
          </c:extLst>
        </c:ser>
        <c:dLbls>
          <c:showLegendKey val="0"/>
          <c:showVal val="0"/>
          <c:showCatName val="0"/>
          <c:showSerName val="0"/>
          <c:showPercent val="0"/>
          <c:showBubbleSize val="0"/>
        </c:dLbls>
        <c:gapWidth val="100"/>
        <c:overlap val="-24"/>
        <c:axId val="290733528"/>
        <c:axId val="290733912"/>
      </c:barChart>
      <c:catAx>
        <c:axId val="290733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90733912"/>
        <c:crosses val="autoZero"/>
        <c:auto val="1"/>
        <c:lblAlgn val="ctr"/>
        <c:lblOffset val="100"/>
        <c:noMultiLvlLbl val="0"/>
      </c:catAx>
      <c:valAx>
        <c:axId val="290733912"/>
        <c:scaling>
          <c:orientation val="minMax"/>
        </c:scaling>
        <c:delete val="1"/>
        <c:axPos val="l"/>
        <c:numFmt formatCode="General" sourceLinked="1"/>
        <c:majorTickMark val="none"/>
        <c:minorTickMark val="none"/>
        <c:tickLblPos val="nextTo"/>
        <c:crossAx val="290733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7620</xdr:rowOff>
    </xdr:from>
    <xdr:to>
      <xdr:col>12</xdr:col>
      <xdr:colOff>601980</xdr:colOff>
      <xdr:row>8</xdr:row>
      <xdr:rowOff>76200</xdr:rowOff>
    </xdr:to>
    <xdr:graphicFrame macro="">
      <xdr:nvGraphicFramePr>
        <xdr:cNvPr id="2" name="Chart 1">
          <a:extLst>
            <a:ext uri="{FF2B5EF4-FFF2-40B4-BE49-F238E27FC236}">
              <a16:creationId xmlns:a16="http://schemas.microsoft.com/office/drawing/2014/main" id="{8D339A8C-301D-4D91-B0CB-438F70BD7B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8</xdr:row>
      <xdr:rowOff>68580</xdr:rowOff>
    </xdr:from>
    <xdr:to>
      <xdr:col>11</xdr:col>
      <xdr:colOff>129540</xdr:colOff>
      <xdr:row>19</xdr:row>
      <xdr:rowOff>76200</xdr:rowOff>
    </xdr:to>
    <xdr:graphicFrame macro="">
      <xdr:nvGraphicFramePr>
        <xdr:cNvPr id="4" name="Chart 3">
          <a:extLst>
            <a:ext uri="{FF2B5EF4-FFF2-40B4-BE49-F238E27FC236}">
              <a16:creationId xmlns:a16="http://schemas.microsoft.com/office/drawing/2014/main" id="{4E716915-AFD2-41EA-A36B-71FA4EE65E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83820</xdr:rowOff>
    </xdr:from>
    <xdr:to>
      <xdr:col>11</xdr:col>
      <xdr:colOff>365760</xdr:colOff>
      <xdr:row>30</xdr:row>
      <xdr:rowOff>152400</xdr:rowOff>
    </xdr:to>
    <xdr:graphicFrame macro="">
      <xdr:nvGraphicFramePr>
        <xdr:cNvPr id="5" name="Chart 4">
          <a:extLst>
            <a:ext uri="{FF2B5EF4-FFF2-40B4-BE49-F238E27FC236}">
              <a16:creationId xmlns:a16="http://schemas.microsoft.com/office/drawing/2014/main" id="{4A47242B-4C15-4CBE-B260-B59D4E7908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106680</xdr:colOff>
      <xdr:row>8</xdr:row>
      <xdr:rowOff>76200</xdr:rowOff>
    </xdr:from>
    <xdr:to>
      <xdr:col>23</xdr:col>
      <xdr:colOff>434340</xdr:colOff>
      <xdr:row>19</xdr:row>
      <xdr:rowOff>83820</xdr:rowOff>
    </xdr:to>
    <xdr:graphicFrame macro="">
      <xdr:nvGraphicFramePr>
        <xdr:cNvPr id="6" name="Chart 5">
          <a:extLst>
            <a:ext uri="{FF2B5EF4-FFF2-40B4-BE49-F238E27FC236}">
              <a16:creationId xmlns:a16="http://schemas.microsoft.com/office/drawing/2014/main" id="{8CBFC190-B85C-4143-803D-861F485457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358140</xdr:colOff>
      <xdr:row>19</xdr:row>
      <xdr:rowOff>91440</xdr:rowOff>
    </xdr:from>
    <xdr:to>
      <xdr:col>23</xdr:col>
      <xdr:colOff>419100</xdr:colOff>
      <xdr:row>30</xdr:row>
      <xdr:rowOff>160020</xdr:rowOff>
    </xdr:to>
    <xdr:graphicFrame macro="">
      <xdr:nvGraphicFramePr>
        <xdr:cNvPr id="7" name="Chart 6">
          <a:extLst>
            <a:ext uri="{FF2B5EF4-FFF2-40B4-BE49-F238E27FC236}">
              <a16:creationId xmlns:a16="http://schemas.microsoft.com/office/drawing/2014/main" id="{C90DF285-7495-4237-91C0-F9DCC99ECE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358140</xdr:colOff>
      <xdr:row>0</xdr:row>
      <xdr:rowOff>0</xdr:rowOff>
    </xdr:from>
    <xdr:to>
      <xdr:col>20</xdr:col>
      <xdr:colOff>358140</xdr:colOff>
      <xdr:row>8</xdr:row>
      <xdr:rowOff>83820</xdr:rowOff>
    </xdr:to>
    <mc:AlternateContent xmlns:mc="http://schemas.openxmlformats.org/markup-compatibility/2006" xmlns:a14="http://schemas.microsoft.com/office/drawing/2010/main">
      <mc:Choice Requires="a14">
        <xdr:graphicFrame macro="">
          <xdr:nvGraphicFramePr>
            <xdr:cNvPr id="8" name="REGION PRODUCT NAME ">
              <a:extLst>
                <a:ext uri="{FF2B5EF4-FFF2-40B4-BE49-F238E27FC236}">
                  <a16:creationId xmlns:a16="http://schemas.microsoft.com/office/drawing/2014/main" id="{4A3368C7-CEBB-FBAF-E741-CE8001C10523}"/>
                </a:ext>
              </a:extLst>
            </xdr:cNvPr>
            <xdr:cNvGraphicFramePr/>
          </xdr:nvGraphicFramePr>
          <xdr:xfrm>
            <a:off x="0" y="0"/>
            <a:ext cx="0" cy="0"/>
          </xdr:xfrm>
          <a:graphic>
            <a:graphicData uri="http://schemas.microsoft.com/office/drawing/2010/slicer">
              <sle:slicer xmlns:sle="http://schemas.microsoft.com/office/drawing/2010/slicer" name="REGION PRODUCT NAME "/>
            </a:graphicData>
          </a:graphic>
        </xdr:graphicFrame>
      </mc:Choice>
      <mc:Fallback xmlns="">
        <xdr:sp macro="" textlink="">
          <xdr:nvSpPr>
            <xdr:cNvPr id="0" name=""/>
            <xdr:cNvSpPr>
              <a:spLocks noTextEdit="1"/>
            </xdr:cNvSpPr>
          </xdr:nvSpPr>
          <xdr:spPr>
            <a:xfrm>
              <a:off x="10721340" y="0"/>
              <a:ext cx="1828800" cy="1546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601980</xdr:colOff>
      <xdr:row>0</xdr:row>
      <xdr:rowOff>1</xdr:rowOff>
    </xdr:from>
    <xdr:to>
      <xdr:col>17</xdr:col>
      <xdr:colOff>365760</xdr:colOff>
      <xdr:row>8</xdr:row>
      <xdr:rowOff>76200</xdr:rowOff>
    </xdr:to>
    <mc:AlternateContent xmlns:mc="http://schemas.openxmlformats.org/markup-compatibility/2006" xmlns:a14="http://schemas.microsoft.com/office/drawing/2010/main">
      <mc:Choice Requires="a14">
        <xdr:graphicFrame macro="">
          <xdr:nvGraphicFramePr>
            <xdr:cNvPr id="9" name="SALESPERSON">
              <a:extLst>
                <a:ext uri="{FF2B5EF4-FFF2-40B4-BE49-F238E27FC236}">
                  <a16:creationId xmlns:a16="http://schemas.microsoft.com/office/drawing/2014/main" id="{82B384B3-4AC1-7A3D-82C5-C703207E16DF}"/>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7917180" y="1"/>
              <a:ext cx="2811780" cy="1539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DASHBOARD%202.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transhi Saxena" refreshedDate="45171.477205787036" createdVersion="8" refreshedVersion="8" minRefreshableVersion="3" recordCount="120" xr:uid="{00000000-000A-0000-FFFF-FFFF00000000}">
  <cacheSource type="worksheet">
    <worksheetSource ref="A1:K121" sheet="RAW DATA" r:id="rId2"/>
  </cacheSource>
  <cacheFields count="13">
    <cacheField name="ORDER ID" numFmtId="0">
      <sharedItems containsSemiMixedTypes="0" containsString="0" containsNumber="1" containsInteger="1" minValue="101" maxValue="220"/>
    </cacheField>
    <cacheField name="ORDER DATE" numFmtId="14">
      <sharedItems containsSemiMixedTypes="0" containsNonDate="0" containsDate="1" containsString="0" minDate="2023-04-15T00:00:00" maxDate="2023-09-03T00:00:00" count="11">
        <d v="2023-09-02T00:00:00"/>
        <d v="2023-08-20T00:00:00"/>
        <d v="2023-06-20T00:00:00"/>
        <d v="2023-05-18T00:00:00"/>
        <d v="2023-08-04T00:00:00"/>
        <d v="2023-08-12T00:00:00"/>
        <d v="2023-04-15T00:00:00"/>
        <d v="2023-08-16T00:00:00"/>
        <d v="2023-05-14T00:00:00"/>
        <d v="2023-05-19T00:00:00"/>
        <d v="2023-06-02T00:00:00"/>
      </sharedItems>
      <fieldGroup par="12"/>
    </cacheField>
    <cacheField name="COMPANY NAME" numFmtId="0">
      <sharedItems/>
    </cacheField>
    <cacheField name="CITY" numFmtId="0">
      <sharedItems/>
    </cacheField>
    <cacheField name="SALESPERSON" numFmtId="0">
      <sharedItems count="5">
        <s v="AMIT"/>
        <s v="SUMIT"/>
        <s v="AMAN"/>
        <s v="SAM"/>
        <s v="PRIYA"/>
      </sharedItems>
    </cacheField>
    <cacheField name="REGION PRODUCT NAME " numFmtId="0">
      <sharedItems count="3">
        <s v="WEST"/>
        <s v="SOUTH"/>
        <s v="NORTH"/>
      </sharedItems>
    </cacheField>
    <cacheField name="PRODUCT" numFmtId="0">
      <sharedItems count="5">
        <s v="COKE"/>
        <s v="CAKE"/>
        <s v="PIZZA"/>
        <s v="BURGER"/>
        <s v="PASTRY"/>
      </sharedItems>
    </cacheField>
    <cacheField name="CATEGORY" numFmtId="0">
      <sharedItems count="3">
        <s v="BEVERAGE"/>
        <s v="DESSERT"/>
        <s v="MAIN COURSE"/>
      </sharedItems>
    </cacheField>
    <cacheField name="UNIT PRICE" numFmtId="0">
      <sharedItems containsSemiMixedTypes="0" containsString="0" containsNumber="1" containsInteger="1" minValue="20" maxValue="100"/>
    </cacheField>
    <cacheField name="QUANTITY" numFmtId="0">
      <sharedItems containsSemiMixedTypes="0" containsString="0" containsNumber="1" containsInteger="1" minValue="1" maxValue="5"/>
    </cacheField>
    <cacheField name="TOTAL INCOME" numFmtId="0">
      <sharedItems containsSemiMixedTypes="0" containsString="0" containsNumber="1" containsInteger="1" minValue="20" maxValue="500"/>
    </cacheField>
    <cacheField name="Days (ORDER DATE)" numFmtId="0" databaseField="0">
      <fieldGroup base="1">
        <rangePr groupBy="days" startDate="2023-04-15T00:00:00" endDate="2023-09-03T00:00:00"/>
        <groupItems count="368">
          <s v="&lt;15-04-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3-09-2023"/>
        </groupItems>
      </fieldGroup>
    </cacheField>
    <cacheField name="Months (ORDER DATE)" numFmtId="0" databaseField="0">
      <fieldGroup base="1">
        <rangePr groupBy="months" startDate="2023-04-15T00:00:00" endDate="2023-09-03T00:00:00"/>
        <groupItems count="14">
          <s v="&lt;15-04-2023"/>
          <s v="Jan"/>
          <s v="Feb"/>
          <s v="Mar"/>
          <s v="Apr"/>
          <s v="May"/>
          <s v="Jun"/>
          <s v="Jul"/>
          <s v="Aug"/>
          <s v="Sep"/>
          <s v="Oct"/>
          <s v="Nov"/>
          <s v="Dec"/>
          <s v="&gt;03-09-2023"/>
        </groupItems>
      </fieldGroup>
    </cacheField>
  </cacheFields>
  <extLst>
    <ext xmlns:x14="http://schemas.microsoft.com/office/spreadsheetml/2009/9/main" uri="{725AE2AE-9491-48be-B2B4-4EB974FC3084}">
      <x14:pivotCacheDefinition pivotCacheId="12061562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01"/>
    <x v="0"/>
    <s v="TESLA"/>
    <s v="PUNE "/>
    <x v="0"/>
    <x v="0"/>
    <x v="0"/>
    <x v="0"/>
    <n v="20"/>
    <n v="4"/>
    <n v="80"/>
  </r>
  <r>
    <n v="102"/>
    <x v="1"/>
    <s v="AMAZON"/>
    <s v="HYDERABAD"/>
    <x v="1"/>
    <x v="1"/>
    <x v="1"/>
    <x v="1"/>
    <n v="50"/>
    <n v="3"/>
    <n v="150"/>
  </r>
  <r>
    <n v="103"/>
    <x v="2"/>
    <s v="FLIPKART"/>
    <s v="MUMBAI"/>
    <x v="2"/>
    <x v="0"/>
    <x v="2"/>
    <x v="2"/>
    <n v="100"/>
    <n v="4"/>
    <n v="400"/>
  </r>
  <r>
    <n v="104"/>
    <x v="3"/>
    <s v="UBER"/>
    <s v="GURGAON"/>
    <x v="3"/>
    <x v="2"/>
    <x v="3"/>
    <x v="2"/>
    <n v="80"/>
    <n v="5"/>
    <n v="400"/>
  </r>
  <r>
    <n v="105"/>
    <x v="4"/>
    <s v="SHOPSY"/>
    <s v="DELHI"/>
    <x v="4"/>
    <x v="2"/>
    <x v="4"/>
    <x v="1"/>
    <n v="40"/>
    <n v="5"/>
    <n v="200"/>
  </r>
  <r>
    <n v="106"/>
    <x v="5"/>
    <s v="TESLA"/>
    <s v="NOIDA"/>
    <x v="0"/>
    <x v="2"/>
    <x v="0"/>
    <x v="0"/>
    <n v="20"/>
    <n v="2"/>
    <n v="40"/>
  </r>
  <r>
    <n v="107"/>
    <x v="6"/>
    <s v="AMAZON"/>
    <s v="PUNE "/>
    <x v="1"/>
    <x v="0"/>
    <x v="1"/>
    <x v="1"/>
    <n v="50"/>
    <n v="5"/>
    <n v="250"/>
  </r>
  <r>
    <n v="108"/>
    <x v="7"/>
    <s v="FLIPKART"/>
    <s v="HYDERABAD"/>
    <x v="2"/>
    <x v="1"/>
    <x v="2"/>
    <x v="2"/>
    <n v="100"/>
    <n v="5"/>
    <n v="500"/>
  </r>
  <r>
    <n v="109"/>
    <x v="8"/>
    <s v="UBER"/>
    <s v="MUMBAI"/>
    <x v="3"/>
    <x v="0"/>
    <x v="3"/>
    <x v="2"/>
    <n v="80"/>
    <n v="2"/>
    <n v="160"/>
  </r>
  <r>
    <n v="110"/>
    <x v="9"/>
    <s v="AMAZON"/>
    <s v="GURGAON"/>
    <x v="4"/>
    <x v="2"/>
    <x v="1"/>
    <x v="1"/>
    <n v="50"/>
    <n v="1"/>
    <n v="50"/>
  </r>
  <r>
    <n v="111"/>
    <x v="10"/>
    <s v="FLIPKART"/>
    <s v="PUNE "/>
    <x v="0"/>
    <x v="0"/>
    <x v="2"/>
    <x v="2"/>
    <n v="100"/>
    <n v="3"/>
    <n v="300"/>
  </r>
  <r>
    <n v="112"/>
    <x v="0"/>
    <s v="UBER"/>
    <s v="HYDERABAD"/>
    <x v="1"/>
    <x v="1"/>
    <x v="3"/>
    <x v="2"/>
    <n v="80"/>
    <n v="5"/>
    <n v="400"/>
  </r>
  <r>
    <n v="113"/>
    <x v="1"/>
    <s v="SHOPSY"/>
    <s v="MUMBAI"/>
    <x v="2"/>
    <x v="0"/>
    <x v="4"/>
    <x v="1"/>
    <n v="40"/>
    <n v="2"/>
    <n v="80"/>
  </r>
  <r>
    <n v="114"/>
    <x v="2"/>
    <s v="TESLA"/>
    <s v="GURGAON"/>
    <x v="3"/>
    <x v="2"/>
    <x v="0"/>
    <x v="0"/>
    <n v="20"/>
    <n v="4"/>
    <n v="80"/>
  </r>
  <r>
    <n v="115"/>
    <x v="3"/>
    <s v="AMAZON"/>
    <s v="DELHI"/>
    <x v="4"/>
    <x v="2"/>
    <x v="0"/>
    <x v="0"/>
    <n v="20"/>
    <n v="3"/>
    <n v="60"/>
  </r>
  <r>
    <n v="116"/>
    <x v="4"/>
    <s v="FLIPKART"/>
    <s v="NOIDA"/>
    <x v="0"/>
    <x v="2"/>
    <x v="1"/>
    <x v="1"/>
    <n v="50"/>
    <n v="3"/>
    <n v="150"/>
  </r>
  <r>
    <n v="117"/>
    <x v="5"/>
    <s v="UBER"/>
    <s v="PUNE "/>
    <x v="1"/>
    <x v="0"/>
    <x v="2"/>
    <x v="2"/>
    <n v="100"/>
    <n v="3"/>
    <n v="300"/>
  </r>
  <r>
    <n v="118"/>
    <x v="6"/>
    <s v="SHOPSY"/>
    <s v="HYDERABAD"/>
    <x v="2"/>
    <x v="1"/>
    <x v="3"/>
    <x v="2"/>
    <n v="80"/>
    <n v="1"/>
    <n v="80"/>
  </r>
  <r>
    <n v="119"/>
    <x v="3"/>
    <s v="TESLA"/>
    <s v="MUMBAI"/>
    <x v="3"/>
    <x v="0"/>
    <x v="4"/>
    <x v="1"/>
    <n v="40"/>
    <n v="4"/>
    <n v="160"/>
  </r>
  <r>
    <n v="120"/>
    <x v="4"/>
    <s v="AMAZON"/>
    <s v="GURGAON"/>
    <x v="1"/>
    <x v="2"/>
    <x v="0"/>
    <x v="0"/>
    <n v="20"/>
    <n v="5"/>
    <n v="100"/>
  </r>
  <r>
    <n v="121"/>
    <x v="5"/>
    <s v="FLIPKART"/>
    <s v="DELHI"/>
    <x v="2"/>
    <x v="2"/>
    <x v="1"/>
    <x v="1"/>
    <n v="50"/>
    <n v="4"/>
    <n v="200"/>
  </r>
  <r>
    <n v="122"/>
    <x v="6"/>
    <s v="UBER"/>
    <s v="NOIDA"/>
    <x v="3"/>
    <x v="2"/>
    <x v="2"/>
    <x v="2"/>
    <n v="100"/>
    <n v="1"/>
    <n v="100"/>
  </r>
  <r>
    <n v="123"/>
    <x v="7"/>
    <s v="FLIPKART"/>
    <s v="PUNE "/>
    <x v="4"/>
    <x v="0"/>
    <x v="3"/>
    <x v="2"/>
    <n v="80"/>
    <n v="2"/>
    <n v="160"/>
  </r>
  <r>
    <n v="124"/>
    <x v="8"/>
    <s v="UBER"/>
    <s v="HYDERABAD"/>
    <x v="0"/>
    <x v="1"/>
    <x v="1"/>
    <x v="1"/>
    <n v="50"/>
    <n v="3"/>
    <n v="150"/>
  </r>
  <r>
    <n v="125"/>
    <x v="9"/>
    <s v="SHOPSY"/>
    <s v="MUMBAI"/>
    <x v="1"/>
    <x v="0"/>
    <x v="2"/>
    <x v="2"/>
    <n v="100"/>
    <n v="5"/>
    <n v="500"/>
  </r>
  <r>
    <n v="126"/>
    <x v="10"/>
    <s v="TESLA"/>
    <s v="GURGAON"/>
    <x v="2"/>
    <x v="2"/>
    <x v="3"/>
    <x v="2"/>
    <n v="80"/>
    <n v="3"/>
    <n v="240"/>
  </r>
  <r>
    <n v="127"/>
    <x v="0"/>
    <s v="AMAZON"/>
    <s v="PUNE "/>
    <x v="3"/>
    <x v="0"/>
    <x v="1"/>
    <x v="1"/>
    <n v="50"/>
    <n v="2"/>
    <n v="100"/>
  </r>
  <r>
    <n v="128"/>
    <x v="1"/>
    <s v="FLIPKART"/>
    <s v="HYDERABAD"/>
    <x v="4"/>
    <x v="1"/>
    <x v="2"/>
    <x v="2"/>
    <n v="100"/>
    <n v="4"/>
    <n v="400"/>
  </r>
  <r>
    <n v="129"/>
    <x v="2"/>
    <s v="UBER"/>
    <s v="MUMBAI"/>
    <x v="0"/>
    <x v="0"/>
    <x v="3"/>
    <x v="2"/>
    <n v="80"/>
    <n v="3"/>
    <n v="240"/>
  </r>
  <r>
    <n v="130"/>
    <x v="3"/>
    <s v="AMAZON"/>
    <s v="GURGAON"/>
    <x v="1"/>
    <x v="2"/>
    <x v="4"/>
    <x v="1"/>
    <n v="40"/>
    <n v="2"/>
    <n v="80"/>
  </r>
  <r>
    <n v="131"/>
    <x v="4"/>
    <s v="FLIPKART"/>
    <s v="GURGAON"/>
    <x v="2"/>
    <x v="2"/>
    <x v="0"/>
    <x v="0"/>
    <n v="20"/>
    <n v="2"/>
    <n v="40"/>
  </r>
  <r>
    <n v="132"/>
    <x v="5"/>
    <s v="UBER"/>
    <s v="PUNE "/>
    <x v="3"/>
    <x v="0"/>
    <x v="1"/>
    <x v="1"/>
    <n v="50"/>
    <n v="4"/>
    <n v="200"/>
  </r>
  <r>
    <n v="133"/>
    <x v="6"/>
    <s v="SHOPSY"/>
    <s v="HYDERABAD"/>
    <x v="4"/>
    <x v="1"/>
    <x v="2"/>
    <x v="2"/>
    <n v="100"/>
    <n v="3"/>
    <n v="300"/>
  </r>
  <r>
    <n v="134"/>
    <x v="3"/>
    <s v="TESLA"/>
    <s v="MUMBAI"/>
    <x v="0"/>
    <x v="0"/>
    <x v="3"/>
    <x v="2"/>
    <n v="80"/>
    <n v="5"/>
    <n v="400"/>
  </r>
  <r>
    <n v="135"/>
    <x v="4"/>
    <s v="AMAZON"/>
    <s v="GURGAON"/>
    <x v="1"/>
    <x v="2"/>
    <x v="1"/>
    <x v="1"/>
    <n v="50"/>
    <n v="3"/>
    <n v="150"/>
  </r>
  <r>
    <n v="136"/>
    <x v="5"/>
    <s v="FLIPKART"/>
    <s v="DELHI"/>
    <x v="2"/>
    <x v="2"/>
    <x v="2"/>
    <x v="2"/>
    <n v="100"/>
    <n v="2"/>
    <n v="200"/>
  </r>
  <r>
    <n v="137"/>
    <x v="6"/>
    <s v="FLIPKART"/>
    <s v="NOIDA"/>
    <x v="3"/>
    <x v="2"/>
    <x v="3"/>
    <x v="2"/>
    <n v="80"/>
    <n v="4"/>
    <n v="320"/>
  </r>
  <r>
    <n v="138"/>
    <x v="7"/>
    <s v="UBER"/>
    <s v="PUNE "/>
    <x v="4"/>
    <x v="0"/>
    <x v="4"/>
    <x v="1"/>
    <n v="40"/>
    <n v="5"/>
    <n v="200"/>
  </r>
  <r>
    <n v="139"/>
    <x v="8"/>
    <s v="AMAZON"/>
    <s v="HYDERABAD"/>
    <x v="0"/>
    <x v="1"/>
    <x v="0"/>
    <x v="0"/>
    <n v="20"/>
    <n v="2"/>
    <n v="40"/>
  </r>
  <r>
    <n v="140"/>
    <x v="9"/>
    <s v="FLIPKART"/>
    <s v="MUMBAI"/>
    <x v="1"/>
    <x v="0"/>
    <x v="0"/>
    <x v="0"/>
    <n v="20"/>
    <n v="4"/>
    <n v="80"/>
  </r>
  <r>
    <n v="141"/>
    <x v="10"/>
    <s v="UBER"/>
    <s v="GURGAON"/>
    <x v="2"/>
    <x v="2"/>
    <x v="1"/>
    <x v="1"/>
    <n v="50"/>
    <n v="3"/>
    <n v="150"/>
  </r>
  <r>
    <n v="142"/>
    <x v="0"/>
    <s v="SHOPSY"/>
    <s v="DELHI"/>
    <x v="3"/>
    <x v="2"/>
    <x v="2"/>
    <x v="2"/>
    <n v="100"/>
    <n v="4"/>
    <n v="400"/>
  </r>
  <r>
    <n v="143"/>
    <x v="1"/>
    <s v="TESLA"/>
    <s v="NOIDA"/>
    <x v="1"/>
    <x v="2"/>
    <x v="3"/>
    <x v="2"/>
    <n v="80"/>
    <n v="3"/>
    <n v="240"/>
  </r>
  <r>
    <n v="144"/>
    <x v="4"/>
    <s v="AMAZON"/>
    <s v="PUNE "/>
    <x v="2"/>
    <x v="0"/>
    <x v="4"/>
    <x v="1"/>
    <n v="40"/>
    <n v="5"/>
    <n v="200"/>
  </r>
  <r>
    <n v="145"/>
    <x v="5"/>
    <s v="FLIPKART"/>
    <s v="HYDERABAD"/>
    <x v="3"/>
    <x v="1"/>
    <x v="0"/>
    <x v="0"/>
    <n v="20"/>
    <n v="3"/>
    <n v="60"/>
  </r>
  <r>
    <n v="146"/>
    <x v="6"/>
    <s v="UBER"/>
    <s v="MUMBAI"/>
    <x v="4"/>
    <x v="0"/>
    <x v="1"/>
    <x v="1"/>
    <n v="50"/>
    <n v="1"/>
    <n v="50"/>
  </r>
  <r>
    <n v="147"/>
    <x v="7"/>
    <s v="SHOPSY"/>
    <s v="HYDERABAD"/>
    <x v="0"/>
    <x v="1"/>
    <x v="2"/>
    <x v="2"/>
    <n v="100"/>
    <n v="3"/>
    <n v="300"/>
  </r>
  <r>
    <n v="148"/>
    <x v="8"/>
    <s v="TESLA"/>
    <s v="MUMBAI"/>
    <x v="1"/>
    <x v="0"/>
    <x v="3"/>
    <x v="2"/>
    <n v="80"/>
    <n v="4"/>
    <n v="320"/>
  </r>
  <r>
    <n v="149"/>
    <x v="9"/>
    <s v="AMAZON"/>
    <s v="GURGAON"/>
    <x v="2"/>
    <x v="2"/>
    <x v="1"/>
    <x v="1"/>
    <n v="50"/>
    <n v="5"/>
    <n v="250"/>
  </r>
  <r>
    <n v="150"/>
    <x v="10"/>
    <s v="FLIPKART"/>
    <s v="PUNE "/>
    <x v="3"/>
    <x v="0"/>
    <x v="3"/>
    <x v="2"/>
    <n v="80"/>
    <n v="2"/>
    <n v="160"/>
  </r>
  <r>
    <n v="151"/>
    <x v="0"/>
    <s v="UBER"/>
    <s v="HYDERABAD"/>
    <x v="4"/>
    <x v="1"/>
    <x v="1"/>
    <x v="1"/>
    <n v="50"/>
    <n v="3"/>
    <n v="150"/>
  </r>
  <r>
    <n v="152"/>
    <x v="1"/>
    <s v="FLIPKART"/>
    <s v="MUMBAI"/>
    <x v="0"/>
    <x v="0"/>
    <x v="2"/>
    <x v="2"/>
    <n v="100"/>
    <n v="4"/>
    <n v="400"/>
  </r>
  <r>
    <n v="153"/>
    <x v="2"/>
    <s v="UBER"/>
    <s v="GURGAON"/>
    <x v="1"/>
    <x v="2"/>
    <x v="3"/>
    <x v="2"/>
    <n v="80"/>
    <n v="1"/>
    <n v="80"/>
  </r>
  <r>
    <n v="154"/>
    <x v="3"/>
    <s v="SHOPSY"/>
    <s v="GURGAON"/>
    <x v="2"/>
    <x v="2"/>
    <x v="4"/>
    <x v="1"/>
    <n v="40"/>
    <n v="1"/>
    <n v="40"/>
  </r>
  <r>
    <n v="155"/>
    <x v="4"/>
    <s v="TESLA"/>
    <s v="PUNE "/>
    <x v="3"/>
    <x v="0"/>
    <x v="0"/>
    <x v="0"/>
    <n v="20"/>
    <n v="4"/>
    <n v="80"/>
  </r>
  <r>
    <n v="156"/>
    <x v="5"/>
    <s v="AMAZON"/>
    <s v="HYDERABAD"/>
    <x v="4"/>
    <x v="1"/>
    <x v="0"/>
    <x v="0"/>
    <n v="20"/>
    <n v="1"/>
    <n v="20"/>
  </r>
  <r>
    <n v="157"/>
    <x v="6"/>
    <s v="UBER"/>
    <s v="MUMBAI"/>
    <x v="3"/>
    <x v="0"/>
    <x v="1"/>
    <x v="1"/>
    <n v="50"/>
    <n v="4"/>
    <n v="200"/>
  </r>
  <r>
    <n v="158"/>
    <x v="3"/>
    <s v="SHOPSY"/>
    <s v="GURGAON"/>
    <x v="4"/>
    <x v="2"/>
    <x v="2"/>
    <x v="2"/>
    <n v="100"/>
    <n v="2"/>
    <n v="200"/>
  </r>
  <r>
    <n v="159"/>
    <x v="4"/>
    <s v="TESLA"/>
    <s v="DELHI"/>
    <x v="0"/>
    <x v="2"/>
    <x v="3"/>
    <x v="2"/>
    <n v="80"/>
    <n v="4"/>
    <n v="320"/>
  </r>
  <r>
    <n v="160"/>
    <x v="5"/>
    <s v="AMAZON"/>
    <s v="NOIDA"/>
    <x v="1"/>
    <x v="2"/>
    <x v="4"/>
    <x v="1"/>
    <n v="40"/>
    <n v="4"/>
    <n v="160"/>
  </r>
  <r>
    <n v="161"/>
    <x v="6"/>
    <s v="FLIPKART"/>
    <s v="PUNE "/>
    <x v="2"/>
    <x v="0"/>
    <x v="0"/>
    <x v="0"/>
    <n v="20"/>
    <n v="5"/>
    <n v="100"/>
  </r>
  <r>
    <n v="162"/>
    <x v="7"/>
    <s v="UBER"/>
    <s v="HYDERABAD"/>
    <x v="3"/>
    <x v="1"/>
    <x v="1"/>
    <x v="1"/>
    <n v="50"/>
    <n v="2"/>
    <n v="100"/>
  </r>
  <r>
    <n v="163"/>
    <x v="8"/>
    <s v="AMAZON"/>
    <s v="MUMBAI"/>
    <x v="4"/>
    <x v="0"/>
    <x v="2"/>
    <x v="2"/>
    <n v="100"/>
    <n v="1"/>
    <n v="100"/>
  </r>
  <r>
    <n v="164"/>
    <x v="3"/>
    <s v="FLIPKART"/>
    <s v="GURGAON"/>
    <x v="0"/>
    <x v="2"/>
    <x v="3"/>
    <x v="2"/>
    <n v="80"/>
    <n v="3"/>
    <n v="240"/>
  </r>
  <r>
    <n v="165"/>
    <x v="7"/>
    <s v="UBER"/>
    <s v="DELHI"/>
    <x v="1"/>
    <x v="2"/>
    <x v="1"/>
    <x v="1"/>
    <n v="50"/>
    <n v="2"/>
    <n v="100"/>
  </r>
  <r>
    <n v="166"/>
    <x v="8"/>
    <s v="SHOPSY"/>
    <s v="HYDERABAD"/>
    <x v="2"/>
    <x v="1"/>
    <x v="2"/>
    <x v="2"/>
    <n v="100"/>
    <n v="3"/>
    <n v="300"/>
  </r>
  <r>
    <n v="167"/>
    <x v="9"/>
    <s v="TESLA"/>
    <s v="MUMBAI"/>
    <x v="3"/>
    <x v="0"/>
    <x v="3"/>
    <x v="2"/>
    <n v="80"/>
    <n v="2"/>
    <n v="160"/>
  </r>
  <r>
    <n v="168"/>
    <x v="10"/>
    <s v="AMAZON"/>
    <s v="GURGAON"/>
    <x v="4"/>
    <x v="2"/>
    <x v="1"/>
    <x v="1"/>
    <n v="50"/>
    <n v="1"/>
    <n v="50"/>
  </r>
  <r>
    <n v="169"/>
    <x v="0"/>
    <s v="FLIPKART"/>
    <s v="GURGAON"/>
    <x v="0"/>
    <x v="2"/>
    <x v="2"/>
    <x v="2"/>
    <n v="100"/>
    <n v="2"/>
    <n v="200"/>
  </r>
  <r>
    <n v="170"/>
    <x v="1"/>
    <s v="FLIPKART"/>
    <s v="PUNE "/>
    <x v="1"/>
    <x v="0"/>
    <x v="3"/>
    <x v="2"/>
    <n v="80"/>
    <n v="1"/>
    <n v="80"/>
  </r>
  <r>
    <n v="171"/>
    <x v="2"/>
    <s v="UBER"/>
    <s v="HYDERABAD"/>
    <x v="2"/>
    <x v="1"/>
    <x v="4"/>
    <x v="1"/>
    <n v="40"/>
    <n v="1"/>
    <n v="40"/>
  </r>
  <r>
    <n v="172"/>
    <x v="3"/>
    <s v="AMAZON"/>
    <s v="MUMBAI"/>
    <x v="3"/>
    <x v="0"/>
    <x v="0"/>
    <x v="0"/>
    <n v="20"/>
    <n v="2"/>
    <n v="40"/>
  </r>
  <r>
    <n v="173"/>
    <x v="4"/>
    <s v="FLIPKART"/>
    <s v="GURGAON"/>
    <x v="1"/>
    <x v="2"/>
    <x v="1"/>
    <x v="1"/>
    <n v="50"/>
    <n v="5"/>
    <n v="250"/>
  </r>
  <r>
    <n v="174"/>
    <x v="5"/>
    <s v="UBER"/>
    <s v="DELHI"/>
    <x v="2"/>
    <x v="2"/>
    <x v="2"/>
    <x v="2"/>
    <n v="100"/>
    <n v="2"/>
    <n v="200"/>
  </r>
  <r>
    <n v="175"/>
    <x v="6"/>
    <s v="SHOPSY"/>
    <s v="NOIDA"/>
    <x v="3"/>
    <x v="2"/>
    <x v="3"/>
    <x v="2"/>
    <n v="80"/>
    <n v="1"/>
    <n v="80"/>
  </r>
  <r>
    <n v="176"/>
    <x v="3"/>
    <s v="FLIPKART"/>
    <s v="PUNE "/>
    <x v="4"/>
    <x v="0"/>
    <x v="1"/>
    <x v="1"/>
    <n v="50"/>
    <n v="5"/>
    <n v="250"/>
  </r>
  <r>
    <n v="177"/>
    <x v="4"/>
    <s v="UBER"/>
    <s v="HYDERABAD"/>
    <x v="0"/>
    <x v="1"/>
    <x v="2"/>
    <x v="2"/>
    <n v="100"/>
    <n v="1"/>
    <n v="100"/>
  </r>
  <r>
    <n v="178"/>
    <x v="5"/>
    <s v="AMAZON"/>
    <s v="MUMBAI"/>
    <x v="1"/>
    <x v="0"/>
    <x v="3"/>
    <x v="2"/>
    <n v="80"/>
    <n v="4"/>
    <n v="320"/>
  </r>
  <r>
    <n v="179"/>
    <x v="6"/>
    <s v="FLIPKART"/>
    <s v="GURGAON"/>
    <x v="2"/>
    <x v="2"/>
    <x v="4"/>
    <x v="1"/>
    <n v="40"/>
    <n v="3"/>
    <n v="120"/>
  </r>
  <r>
    <n v="180"/>
    <x v="7"/>
    <s v="UBER"/>
    <s v="DELHI"/>
    <x v="3"/>
    <x v="2"/>
    <x v="0"/>
    <x v="0"/>
    <n v="20"/>
    <n v="1"/>
    <n v="20"/>
  </r>
  <r>
    <n v="181"/>
    <x v="8"/>
    <s v="SHOPSY"/>
    <s v="NOIDA"/>
    <x v="4"/>
    <x v="2"/>
    <x v="0"/>
    <x v="0"/>
    <n v="20"/>
    <n v="1"/>
    <n v="20"/>
  </r>
  <r>
    <n v="182"/>
    <x v="0"/>
    <s v="TESLA"/>
    <s v="PUNE "/>
    <x v="0"/>
    <x v="0"/>
    <x v="1"/>
    <x v="1"/>
    <n v="50"/>
    <n v="2"/>
    <n v="100"/>
  </r>
  <r>
    <n v="183"/>
    <x v="1"/>
    <s v="AMAZON"/>
    <s v="HYDERABAD"/>
    <x v="1"/>
    <x v="1"/>
    <x v="2"/>
    <x v="2"/>
    <n v="100"/>
    <n v="2"/>
    <n v="200"/>
  </r>
  <r>
    <n v="184"/>
    <x v="2"/>
    <s v="FLIPKART"/>
    <s v="MUMBAI"/>
    <x v="2"/>
    <x v="0"/>
    <x v="3"/>
    <x v="2"/>
    <n v="80"/>
    <n v="2"/>
    <n v="160"/>
  </r>
  <r>
    <n v="185"/>
    <x v="3"/>
    <s v="UBER"/>
    <s v="HYDERABAD"/>
    <x v="3"/>
    <x v="1"/>
    <x v="4"/>
    <x v="1"/>
    <n v="40"/>
    <n v="5"/>
    <n v="200"/>
  </r>
  <r>
    <n v="186"/>
    <x v="4"/>
    <s v="SHOPSY"/>
    <s v="MUMBAI"/>
    <x v="4"/>
    <x v="0"/>
    <x v="0"/>
    <x v="0"/>
    <n v="20"/>
    <n v="3"/>
    <n v="60"/>
  </r>
  <r>
    <n v="187"/>
    <x v="5"/>
    <s v="TESLA"/>
    <s v="GURGAON"/>
    <x v="0"/>
    <x v="2"/>
    <x v="1"/>
    <x v="1"/>
    <n v="50"/>
    <n v="5"/>
    <n v="250"/>
  </r>
  <r>
    <n v="188"/>
    <x v="6"/>
    <s v="AMAZON"/>
    <s v="PUNE "/>
    <x v="1"/>
    <x v="0"/>
    <x v="2"/>
    <x v="2"/>
    <n v="100"/>
    <n v="3"/>
    <n v="300"/>
  </r>
  <r>
    <n v="189"/>
    <x v="3"/>
    <s v="FLIPKART"/>
    <s v="HYDERABAD"/>
    <x v="2"/>
    <x v="1"/>
    <x v="3"/>
    <x v="2"/>
    <n v="80"/>
    <n v="1"/>
    <n v="80"/>
  </r>
  <r>
    <n v="190"/>
    <x v="4"/>
    <s v="UBER"/>
    <s v="MUMBAI"/>
    <x v="3"/>
    <x v="0"/>
    <x v="1"/>
    <x v="1"/>
    <n v="50"/>
    <n v="3"/>
    <n v="150"/>
  </r>
  <r>
    <n v="191"/>
    <x v="5"/>
    <s v="FLIPKART"/>
    <s v="GURGAON"/>
    <x v="4"/>
    <x v="2"/>
    <x v="0"/>
    <x v="0"/>
    <n v="20"/>
    <n v="3"/>
    <n v="60"/>
  </r>
  <r>
    <n v="192"/>
    <x v="6"/>
    <s v="UBER"/>
    <s v="GURGAON"/>
    <x v="3"/>
    <x v="2"/>
    <x v="1"/>
    <x v="1"/>
    <n v="50"/>
    <n v="1"/>
    <n v="50"/>
  </r>
  <r>
    <n v="193"/>
    <x v="7"/>
    <s v="SHOPSY"/>
    <s v="PUNE "/>
    <x v="4"/>
    <x v="0"/>
    <x v="2"/>
    <x v="2"/>
    <n v="100"/>
    <n v="5"/>
    <n v="500"/>
  </r>
  <r>
    <n v="194"/>
    <x v="8"/>
    <s v="TESLA"/>
    <s v="HYDERABAD"/>
    <x v="0"/>
    <x v="1"/>
    <x v="3"/>
    <x v="2"/>
    <n v="80"/>
    <n v="1"/>
    <n v="80"/>
  </r>
  <r>
    <n v="195"/>
    <x v="9"/>
    <s v="AMAZON"/>
    <s v="MUMBAI"/>
    <x v="1"/>
    <x v="0"/>
    <x v="1"/>
    <x v="1"/>
    <n v="50"/>
    <n v="4"/>
    <n v="200"/>
  </r>
  <r>
    <n v="196"/>
    <x v="10"/>
    <s v="UBER"/>
    <s v="GURGAON"/>
    <x v="2"/>
    <x v="2"/>
    <x v="2"/>
    <x v="2"/>
    <n v="100"/>
    <n v="2"/>
    <n v="200"/>
  </r>
  <r>
    <n v="197"/>
    <x v="0"/>
    <s v="SHOPSY"/>
    <s v="DELHI"/>
    <x v="3"/>
    <x v="2"/>
    <x v="3"/>
    <x v="2"/>
    <n v="80"/>
    <n v="5"/>
    <n v="400"/>
  </r>
  <r>
    <n v="198"/>
    <x v="1"/>
    <s v="TESLA"/>
    <s v="PUNE "/>
    <x v="4"/>
    <x v="0"/>
    <x v="4"/>
    <x v="1"/>
    <n v="40"/>
    <n v="4"/>
    <n v="160"/>
  </r>
  <r>
    <n v="199"/>
    <x v="4"/>
    <s v="AMAZON"/>
    <s v="HYDERABAD"/>
    <x v="0"/>
    <x v="1"/>
    <x v="0"/>
    <x v="0"/>
    <n v="20"/>
    <n v="3"/>
    <n v="60"/>
  </r>
  <r>
    <n v="200"/>
    <x v="5"/>
    <s v="FLIPKART"/>
    <s v="MUMBAI"/>
    <x v="1"/>
    <x v="0"/>
    <x v="0"/>
    <x v="0"/>
    <n v="20"/>
    <n v="5"/>
    <n v="100"/>
  </r>
  <r>
    <n v="201"/>
    <x v="6"/>
    <s v="FLIPKART"/>
    <s v="GURGAON"/>
    <x v="2"/>
    <x v="2"/>
    <x v="1"/>
    <x v="1"/>
    <n v="50"/>
    <n v="1"/>
    <n v="50"/>
  </r>
  <r>
    <n v="202"/>
    <x v="7"/>
    <s v="FLIPKART"/>
    <s v="DELHI"/>
    <x v="0"/>
    <x v="2"/>
    <x v="2"/>
    <x v="2"/>
    <n v="100"/>
    <n v="3"/>
    <n v="300"/>
  </r>
  <r>
    <n v="203"/>
    <x v="8"/>
    <s v="UBER"/>
    <s v="NOIDA"/>
    <x v="1"/>
    <x v="2"/>
    <x v="3"/>
    <x v="2"/>
    <n v="80"/>
    <n v="5"/>
    <n v="400"/>
  </r>
  <r>
    <n v="204"/>
    <x v="9"/>
    <s v="AMAZON"/>
    <s v="PUNE "/>
    <x v="2"/>
    <x v="0"/>
    <x v="4"/>
    <x v="1"/>
    <n v="40"/>
    <n v="1"/>
    <n v="40"/>
  </r>
  <r>
    <n v="205"/>
    <x v="10"/>
    <s v="FLIPKART"/>
    <s v="HYDERABAD"/>
    <x v="3"/>
    <x v="1"/>
    <x v="0"/>
    <x v="0"/>
    <n v="20"/>
    <n v="1"/>
    <n v="20"/>
  </r>
  <r>
    <n v="206"/>
    <x v="0"/>
    <s v="UBER"/>
    <s v="MUMBAI"/>
    <x v="1"/>
    <x v="0"/>
    <x v="1"/>
    <x v="1"/>
    <n v="50"/>
    <n v="5"/>
    <n v="250"/>
  </r>
  <r>
    <n v="207"/>
    <x v="1"/>
    <s v="SHOPSY"/>
    <s v="HYDERABAD"/>
    <x v="2"/>
    <x v="1"/>
    <x v="2"/>
    <x v="2"/>
    <n v="100"/>
    <n v="2"/>
    <n v="200"/>
  </r>
  <r>
    <n v="208"/>
    <x v="2"/>
    <s v="FLIPKART"/>
    <s v="MUMBAI"/>
    <x v="3"/>
    <x v="0"/>
    <x v="3"/>
    <x v="2"/>
    <n v="80"/>
    <n v="2"/>
    <n v="160"/>
  </r>
  <r>
    <n v="209"/>
    <x v="3"/>
    <s v="UBER"/>
    <s v="GURGAON"/>
    <x v="4"/>
    <x v="2"/>
    <x v="1"/>
    <x v="1"/>
    <n v="50"/>
    <n v="1"/>
    <n v="50"/>
  </r>
  <r>
    <n v="210"/>
    <x v="10"/>
    <s v="AMAZON"/>
    <s v="PUNE "/>
    <x v="0"/>
    <x v="0"/>
    <x v="0"/>
    <x v="0"/>
    <n v="20"/>
    <n v="5"/>
    <n v="100"/>
  </r>
  <r>
    <n v="211"/>
    <x v="0"/>
    <s v="FLIPKART"/>
    <s v="HYDERABAD"/>
    <x v="1"/>
    <x v="1"/>
    <x v="1"/>
    <x v="1"/>
    <n v="50"/>
    <n v="4"/>
    <n v="200"/>
  </r>
  <r>
    <n v="212"/>
    <x v="1"/>
    <s v="UBER"/>
    <s v="MUMBAI"/>
    <x v="2"/>
    <x v="0"/>
    <x v="2"/>
    <x v="2"/>
    <n v="100"/>
    <n v="2"/>
    <n v="200"/>
  </r>
  <r>
    <n v="213"/>
    <x v="2"/>
    <s v="SHOPSY"/>
    <s v="GURGAON"/>
    <x v="3"/>
    <x v="2"/>
    <x v="3"/>
    <x v="2"/>
    <n v="80"/>
    <n v="2"/>
    <n v="160"/>
  </r>
  <r>
    <n v="214"/>
    <x v="3"/>
    <s v="TESLA"/>
    <s v="GURGAON"/>
    <x v="4"/>
    <x v="2"/>
    <x v="1"/>
    <x v="1"/>
    <n v="50"/>
    <n v="2"/>
    <n v="100"/>
  </r>
  <r>
    <n v="215"/>
    <x v="4"/>
    <s v="AMAZON"/>
    <s v="PUNE "/>
    <x v="0"/>
    <x v="0"/>
    <x v="2"/>
    <x v="2"/>
    <n v="100"/>
    <n v="2"/>
    <n v="200"/>
  </r>
  <r>
    <n v="216"/>
    <x v="5"/>
    <s v="FLIPKART"/>
    <s v="HYDERABAD"/>
    <x v="1"/>
    <x v="1"/>
    <x v="3"/>
    <x v="2"/>
    <n v="80"/>
    <n v="1"/>
    <n v="80"/>
  </r>
  <r>
    <n v="217"/>
    <x v="6"/>
    <s v="UBER"/>
    <s v="MUMBAI"/>
    <x v="2"/>
    <x v="0"/>
    <x v="4"/>
    <x v="1"/>
    <n v="40"/>
    <n v="1"/>
    <n v="40"/>
  </r>
  <r>
    <n v="218"/>
    <x v="3"/>
    <s v="SHOPSY"/>
    <s v="GURGAON"/>
    <x v="3"/>
    <x v="2"/>
    <x v="0"/>
    <x v="0"/>
    <n v="20"/>
    <n v="2"/>
    <n v="40"/>
  </r>
  <r>
    <n v="219"/>
    <x v="4"/>
    <s v="TESLA"/>
    <s v="DELHI"/>
    <x v="4"/>
    <x v="2"/>
    <x v="0"/>
    <x v="0"/>
    <n v="20"/>
    <n v="3"/>
    <n v="60"/>
  </r>
  <r>
    <n v="220"/>
    <x v="5"/>
    <s v="AMAZON"/>
    <s v="MUMBAI"/>
    <x v="0"/>
    <x v="0"/>
    <x v="1"/>
    <x v="1"/>
    <n v="50"/>
    <n v="2"/>
    <n v="1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13">
    <pivotField showAll="0"/>
    <pivotField axis="axisRow" numFmtId="14" showAll="0">
      <items count="12">
        <item x="6"/>
        <item x="8"/>
        <item x="3"/>
        <item x="9"/>
        <item x="10"/>
        <item x="2"/>
        <item x="4"/>
        <item x="5"/>
        <item x="7"/>
        <item x="1"/>
        <item x="0"/>
        <item t="default"/>
      </items>
    </pivotField>
    <pivotField showAll="0"/>
    <pivotField showAll="0"/>
    <pivotField showAll="0">
      <items count="6">
        <item x="2"/>
        <item x="0"/>
        <item x="4"/>
        <item x="3"/>
        <item x="1"/>
        <item t="default"/>
      </items>
    </pivotField>
    <pivotField showAll="0">
      <items count="4">
        <item x="2"/>
        <item x="1"/>
        <item x="0"/>
        <item t="default"/>
      </items>
    </pivotField>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2"/>
    <field x="1"/>
  </rowFields>
  <rowItems count="6">
    <i>
      <x v="4"/>
    </i>
    <i>
      <x v="5"/>
    </i>
    <i>
      <x v="6"/>
    </i>
    <i>
      <x v="8"/>
    </i>
    <i>
      <x v="9"/>
    </i>
    <i t="grand">
      <x/>
    </i>
  </rowItems>
  <colItems count="1">
    <i/>
  </colItems>
  <dataFields count="1">
    <dataField name="Sum of TOTAL INCOME" fld="10" baseField="0" baseItem="0"/>
  </dataFields>
  <chartFormats count="3">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12" count="1" selected="0">
            <x v="9"/>
          </reference>
        </references>
      </pivotArea>
    </chartFormat>
    <chartFormat chart="11" format="4">
      <pivotArea type="data" outline="0" fieldPosition="0">
        <references count="2">
          <reference field="4294967294" count="1" selected="0">
            <x v="0"/>
          </reference>
          <reference field="1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9" firstHeaderRow="1" firstDataRow="1" firstDataCol="1"/>
  <pivotFields count="13">
    <pivotField showAll="0"/>
    <pivotField numFmtId="14" showAll="0">
      <items count="12">
        <item x="6"/>
        <item x="8"/>
        <item x="3"/>
        <item x="9"/>
        <item x="10"/>
        <item x="2"/>
        <item x="4"/>
        <item x="5"/>
        <item x="7"/>
        <item x="1"/>
        <item x="0"/>
        <item t="default"/>
      </items>
    </pivotField>
    <pivotField showAll="0"/>
    <pivotField showAll="0"/>
    <pivotField axis="axisRow" showAll="0">
      <items count="6">
        <item x="2"/>
        <item x="0"/>
        <item x="4"/>
        <item x="3"/>
        <item x="1"/>
        <item t="default"/>
      </items>
    </pivotField>
    <pivotField showAll="0">
      <items count="4">
        <item x="2"/>
        <item x="1"/>
        <item x="0"/>
        <item t="default"/>
      </items>
    </pivotField>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6">
    <i>
      <x/>
    </i>
    <i>
      <x v="1"/>
    </i>
    <i>
      <x v="2"/>
    </i>
    <i>
      <x v="3"/>
    </i>
    <i>
      <x v="4"/>
    </i>
    <i t="grand">
      <x/>
    </i>
  </rowItems>
  <colItems count="1">
    <i/>
  </colItems>
  <dataFields count="1">
    <dataField name="Sum of TOTAL INCOME" fld="10" baseField="0" baseItem="0"/>
  </dataFields>
  <chartFormats count="6">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4" count="1" selected="0">
            <x v="0"/>
          </reference>
        </references>
      </pivotArea>
    </chartFormat>
    <chartFormat chart="24" format="4">
      <pivotArea type="data" outline="0" fieldPosition="0">
        <references count="2">
          <reference field="4294967294" count="1" selected="0">
            <x v="0"/>
          </reference>
          <reference field="4" count="1" selected="0">
            <x v="1"/>
          </reference>
        </references>
      </pivotArea>
    </chartFormat>
    <chartFormat chart="24" format="5">
      <pivotArea type="data" outline="0" fieldPosition="0">
        <references count="2">
          <reference field="4294967294" count="1" selected="0">
            <x v="0"/>
          </reference>
          <reference field="4" count="1" selected="0">
            <x v="2"/>
          </reference>
        </references>
      </pivotArea>
    </chartFormat>
    <chartFormat chart="24" format="6">
      <pivotArea type="data" outline="0" fieldPosition="0">
        <references count="2">
          <reference field="4294967294" count="1" selected="0">
            <x v="0"/>
          </reference>
          <reference field="4" count="1" selected="0">
            <x v="3"/>
          </reference>
        </references>
      </pivotArea>
    </chartFormat>
    <chartFormat chart="24" format="7">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3">
    <pivotField showAll="0"/>
    <pivotField numFmtId="14" showAll="0">
      <items count="12">
        <item x="6"/>
        <item x="8"/>
        <item x="3"/>
        <item x="9"/>
        <item x="10"/>
        <item x="2"/>
        <item x="4"/>
        <item x="5"/>
        <item x="7"/>
        <item x="1"/>
        <item x="0"/>
        <item t="default"/>
      </items>
    </pivotField>
    <pivotField showAll="0"/>
    <pivotField showAll="0"/>
    <pivotField showAll="0">
      <items count="6">
        <item x="2"/>
        <item x="0"/>
        <item x="4"/>
        <item x="3"/>
        <item x="1"/>
        <item t="default"/>
      </items>
    </pivotField>
    <pivotField showAll="0">
      <items count="4">
        <item x="2"/>
        <item x="1"/>
        <item x="0"/>
        <item t="default"/>
      </items>
    </pivotField>
    <pivotField showAll="0"/>
    <pivotField axis="axisRow" showAll="0">
      <items count="4">
        <item x="0"/>
        <item x="1"/>
        <item x="2"/>
        <item t="default"/>
      </items>
    </pivotField>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4">
    <i>
      <x/>
    </i>
    <i>
      <x v="1"/>
    </i>
    <i>
      <x v="2"/>
    </i>
    <i t="grand">
      <x/>
    </i>
  </rowItems>
  <colItems count="1">
    <i/>
  </colItems>
  <dataFields count="1">
    <dataField name="Sum of TOTAL INCOME" fld="10" baseField="0" baseItem="0"/>
  </dataFields>
  <chartFormats count="5">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7" count="1" selected="0">
            <x v="0"/>
          </reference>
        </references>
      </pivotArea>
    </chartFormat>
    <chartFormat chart="2" format="2">
      <pivotArea type="data" outline="0" fieldPosition="0">
        <references count="2">
          <reference field="4294967294" count="1" selected="0">
            <x v="0"/>
          </reference>
          <reference field="7" count="1" selected="0">
            <x v="1"/>
          </reference>
        </references>
      </pivotArea>
    </chartFormat>
    <chartFormat chart="2" format="3">
      <pivotArea type="data" outline="0" fieldPosition="0">
        <references count="2">
          <reference field="4294967294" count="1" selected="0">
            <x v="0"/>
          </reference>
          <reference field="7" count="1" selected="0">
            <x v="2"/>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13">
    <pivotField showAll="0"/>
    <pivotField numFmtId="14" showAll="0">
      <items count="12">
        <item x="6"/>
        <item x="8"/>
        <item x="3"/>
        <item x="9"/>
        <item x="10"/>
        <item x="2"/>
        <item x="4"/>
        <item x="5"/>
        <item x="7"/>
        <item x="1"/>
        <item x="0"/>
        <item t="default"/>
      </items>
    </pivotField>
    <pivotField showAll="0"/>
    <pivotField showAll="0"/>
    <pivotField showAll="0">
      <items count="6">
        <item x="2"/>
        <item x="0"/>
        <item x="4"/>
        <item x="3"/>
        <item x="1"/>
        <item t="default"/>
      </items>
    </pivotField>
    <pivotField axis="axisRow" showAll="0">
      <items count="4">
        <item x="2"/>
        <item x="1"/>
        <item x="0"/>
        <item t="default"/>
      </items>
    </pivotField>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4">
    <i>
      <x/>
    </i>
    <i>
      <x v="1"/>
    </i>
    <i>
      <x v="2"/>
    </i>
    <i t="grand">
      <x/>
    </i>
  </rowItems>
  <colItems count="1">
    <i/>
  </colItems>
  <dataFields count="1">
    <dataField name="Sum of TOTAL INCOME" fld="10" baseField="0" baseItem="0"/>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3">
    <pivotField showAll="0"/>
    <pivotField numFmtId="14" showAll="0">
      <items count="12">
        <item x="6"/>
        <item x="8"/>
        <item x="3"/>
        <item x="9"/>
        <item x="10"/>
        <item x="2"/>
        <item x="4"/>
        <item x="5"/>
        <item x="7"/>
        <item x="1"/>
        <item x="0"/>
        <item t="default"/>
      </items>
    </pivotField>
    <pivotField showAll="0"/>
    <pivotField showAll="0"/>
    <pivotField showAll="0">
      <items count="6">
        <item x="2"/>
        <item x="0"/>
        <item x="4"/>
        <item x="3"/>
        <item x="1"/>
        <item t="default"/>
      </items>
    </pivotField>
    <pivotField showAll="0">
      <items count="4">
        <item x="2"/>
        <item x="1"/>
        <item x="0"/>
        <item t="default"/>
      </items>
    </pivotField>
    <pivotField axis="axisRow" showAll="0">
      <items count="6">
        <item x="3"/>
        <item x="1"/>
        <item x="0"/>
        <item x="4"/>
        <item x="2"/>
        <item t="default"/>
      </items>
    </pivotField>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6">
    <i>
      <x/>
    </i>
    <i>
      <x v="1"/>
    </i>
    <i>
      <x v="2"/>
    </i>
    <i>
      <x v="3"/>
    </i>
    <i>
      <x v="4"/>
    </i>
    <i t="grand">
      <x/>
    </i>
  </rowItems>
  <colItems count="1">
    <i/>
  </colItems>
  <dataFields count="1">
    <dataField name="Sum of TOTAL INCOME" fld="10" baseField="0" baseItem="0"/>
  </dataFields>
  <chartFormats count="8">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6" count="1" selected="0">
            <x v="0"/>
          </reference>
        </references>
      </pivotArea>
    </chartFormat>
    <chartFormat chart="3" format="4">
      <pivotArea type="data" outline="0" fieldPosition="0">
        <references count="2">
          <reference field="4294967294" count="1" selected="0">
            <x v="0"/>
          </reference>
          <reference field="6" count="1" selected="0">
            <x v="1"/>
          </reference>
        </references>
      </pivotArea>
    </chartFormat>
    <chartFormat chart="3" format="5">
      <pivotArea type="data" outline="0" fieldPosition="0">
        <references count="2">
          <reference field="4294967294" count="1" selected="0">
            <x v="0"/>
          </reference>
          <reference field="6" count="1" selected="0">
            <x v="2"/>
          </reference>
        </references>
      </pivotArea>
    </chartFormat>
    <chartFormat chart="3" format="6">
      <pivotArea type="data" outline="0" fieldPosition="0">
        <references count="2">
          <reference field="4294967294" count="1" selected="0">
            <x v="0"/>
          </reference>
          <reference field="6" count="1" selected="0">
            <x v="3"/>
          </reference>
        </references>
      </pivotArea>
    </chartFormat>
    <chartFormat chart="3" format="7">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_PRODUCT_NAME" xr10:uid="{00000000-0013-0000-FFFF-FFFF01000000}" sourceName="REGION PRODUCT NAME ">
  <pivotTables>
    <pivotTable tabId="3" name="PivotTable1"/>
    <pivotTable tabId="4" name="PivotTable2"/>
    <pivotTable tabId="5" name="PivotTable3"/>
    <pivotTable tabId="6" name="PivotTable4"/>
    <pivotTable tabId="7" name="PivotTable5"/>
  </pivotTables>
  <data>
    <tabular pivotCacheId="1206156255">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00000000-0013-0000-FFFF-FFFF02000000}" sourceName="SALESPERSON">
  <pivotTables>
    <pivotTable tabId="4" name="PivotTable2"/>
    <pivotTable tabId="3" name="PivotTable1"/>
    <pivotTable tabId="5" name="PivotTable3"/>
    <pivotTable tabId="6" name="PivotTable4"/>
    <pivotTable tabId="7" name="PivotTable5"/>
  </pivotTables>
  <data>
    <tabular pivotCacheId="1206156255">
      <items count="5">
        <i x="2" s="1"/>
        <i x="0" s="1"/>
        <i x="4"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PRODUCT NAME " xr10:uid="{00000000-0014-0000-FFFF-FFFF01000000}" cache="Slicer_REGION_PRODUCT_NAME" caption="REGION" style="SlicerStyleDark2" rowHeight="234950"/>
  <slicer name="SALESPERSON" xr10:uid="{00000000-0014-0000-FFFF-FFFF02000000}" cache="Slicer_SALESPERSON" caption="SALESPERSON" columnCount="2" style="SlicerStyleDark6"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9"/>
  <sheetViews>
    <sheetView workbookViewId="0">
      <selection activeCell="H3" sqref="H3"/>
    </sheetView>
  </sheetViews>
  <sheetFormatPr defaultRowHeight="14.4" x14ac:dyDescent="0.3"/>
  <cols>
    <col min="1" max="1" width="12.5546875" bestFit="1" customWidth="1"/>
    <col min="2" max="2" width="20.6640625" bestFit="1" customWidth="1"/>
  </cols>
  <sheetData>
    <row r="3" spans="1:2" x14ac:dyDescent="0.3">
      <c r="A3" s="2" t="s">
        <v>38</v>
      </c>
      <c r="B3" t="s">
        <v>45</v>
      </c>
    </row>
    <row r="4" spans="1:2" x14ac:dyDescent="0.3">
      <c r="A4" s="3" t="s">
        <v>40</v>
      </c>
      <c r="B4" s="28">
        <v>2040</v>
      </c>
    </row>
    <row r="5" spans="1:2" x14ac:dyDescent="0.3">
      <c r="A5" s="3" t="s">
        <v>41</v>
      </c>
      <c r="B5" s="28">
        <v>5190</v>
      </c>
    </row>
    <row r="6" spans="1:2" x14ac:dyDescent="0.3">
      <c r="A6" s="3" t="s">
        <v>42</v>
      </c>
      <c r="B6" s="28">
        <v>2540</v>
      </c>
    </row>
    <row r="7" spans="1:2" x14ac:dyDescent="0.3">
      <c r="A7" s="3" t="s">
        <v>43</v>
      </c>
      <c r="B7" s="28">
        <v>8700</v>
      </c>
    </row>
    <row r="8" spans="1:2" x14ac:dyDescent="0.3">
      <c r="A8" s="3" t="s">
        <v>44</v>
      </c>
      <c r="B8" s="28">
        <v>2280</v>
      </c>
    </row>
    <row r="9" spans="1:2" x14ac:dyDescent="0.3">
      <c r="A9" s="3" t="s">
        <v>39</v>
      </c>
      <c r="B9" s="28">
        <v>20750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9"/>
  <sheetViews>
    <sheetView workbookViewId="0">
      <selection activeCell="A4" sqref="A4"/>
    </sheetView>
  </sheetViews>
  <sheetFormatPr defaultRowHeight="14.4" x14ac:dyDescent="0.3"/>
  <cols>
    <col min="1" max="1" width="12.5546875" bestFit="1" customWidth="1"/>
    <col min="2" max="2" width="20.6640625" bestFit="1" customWidth="1"/>
  </cols>
  <sheetData>
    <row r="3" spans="1:2" x14ac:dyDescent="0.3">
      <c r="A3" s="2" t="s">
        <v>38</v>
      </c>
      <c r="B3" t="s">
        <v>45</v>
      </c>
    </row>
    <row r="4" spans="1:2" x14ac:dyDescent="0.3">
      <c r="A4" s="3" t="s">
        <v>20</v>
      </c>
      <c r="B4" s="28">
        <v>4110</v>
      </c>
    </row>
    <row r="5" spans="1:2" x14ac:dyDescent="0.3">
      <c r="A5" s="3" t="s">
        <v>18</v>
      </c>
      <c r="B5" s="28">
        <v>4150</v>
      </c>
    </row>
    <row r="6" spans="1:2" x14ac:dyDescent="0.3">
      <c r="A6" s="3" t="s">
        <v>22</v>
      </c>
      <c r="B6" s="28">
        <v>3200</v>
      </c>
    </row>
    <row r="7" spans="1:2" x14ac:dyDescent="0.3">
      <c r="A7" s="3" t="s">
        <v>21</v>
      </c>
      <c r="B7" s="28">
        <v>4000</v>
      </c>
    </row>
    <row r="8" spans="1:2" x14ac:dyDescent="0.3">
      <c r="A8" s="3" t="s">
        <v>19</v>
      </c>
      <c r="B8" s="28">
        <v>5290</v>
      </c>
    </row>
    <row r="9" spans="1:2" x14ac:dyDescent="0.3">
      <c r="A9" s="3" t="s">
        <v>39</v>
      </c>
      <c r="B9" s="28">
        <v>20750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7"/>
  <sheetViews>
    <sheetView workbookViewId="0">
      <selection activeCell="P6" sqref="P6"/>
    </sheetView>
  </sheetViews>
  <sheetFormatPr defaultRowHeight="14.4" x14ac:dyDescent="0.3"/>
  <cols>
    <col min="1" max="1" width="12.88671875" bestFit="1" customWidth="1"/>
    <col min="2" max="2" width="20.6640625" bestFit="1" customWidth="1"/>
  </cols>
  <sheetData>
    <row r="3" spans="1:2" x14ac:dyDescent="0.3">
      <c r="A3" s="2" t="s">
        <v>38</v>
      </c>
      <c r="B3" t="s">
        <v>45</v>
      </c>
    </row>
    <row r="4" spans="1:2" x14ac:dyDescent="0.3">
      <c r="A4" s="3" t="s">
        <v>31</v>
      </c>
      <c r="B4" s="28">
        <v>1360</v>
      </c>
    </row>
    <row r="5" spans="1:2" x14ac:dyDescent="0.3">
      <c r="A5" s="3" t="s">
        <v>32</v>
      </c>
      <c r="B5" s="28">
        <v>6170</v>
      </c>
    </row>
    <row r="6" spans="1:2" x14ac:dyDescent="0.3">
      <c r="A6" s="3" t="s">
        <v>33</v>
      </c>
      <c r="B6" s="28">
        <v>13220</v>
      </c>
    </row>
    <row r="7" spans="1:2" x14ac:dyDescent="0.3">
      <c r="A7" s="3" t="s">
        <v>39</v>
      </c>
      <c r="B7" s="28">
        <v>20750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7"/>
  <sheetViews>
    <sheetView workbookViewId="0">
      <selection activeCell="T3" sqref="T3"/>
    </sheetView>
  </sheetViews>
  <sheetFormatPr defaultRowHeight="14.4" x14ac:dyDescent="0.3"/>
  <cols>
    <col min="1" max="1" width="12.5546875" bestFit="1" customWidth="1"/>
    <col min="2" max="2" width="20.6640625" bestFit="1" customWidth="1"/>
  </cols>
  <sheetData>
    <row r="3" spans="1:2" x14ac:dyDescent="0.3">
      <c r="A3" s="2" t="s">
        <v>38</v>
      </c>
      <c r="B3" t="s">
        <v>45</v>
      </c>
    </row>
    <row r="4" spans="1:2" x14ac:dyDescent="0.3">
      <c r="A4" s="3" t="s">
        <v>25</v>
      </c>
      <c r="B4" s="28">
        <v>7650</v>
      </c>
    </row>
    <row r="5" spans="1:2" x14ac:dyDescent="0.3">
      <c r="A5" s="3" t="s">
        <v>24</v>
      </c>
      <c r="B5" s="28">
        <v>4210</v>
      </c>
    </row>
    <row r="6" spans="1:2" x14ac:dyDescent="0.3">
      <c r="A6" s="3" t="s">
        <v>23</v>
      </c>
      <c r="B6" s="28">
        <v>8890</v>
      </c>
    </row>
    <row r="7" spans="1:2" x14ac:dyDescent="0.3">
      <c r="A7" s="3" t="s">
        <v>39</v>
      </c>
      <c r="B7" s="28">
        <v>20750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9"/>
  <sheetViews>
    <sheetView workbookViewId="0">
      <selection activeCell="B5" sqref="B5"/>
    </sheetView>
  </sheetViews>
  <sheetFormatPr defaultRowHeight="14.4" x14ac:dyDescent="0.3"/>
  <cols>
    <col min="1" max="1" width="12.5546875" bestFit="1" customWidth="1"/>
    <col min="2" max="2" width="20.6640625" bestFit="1" customWidth="1"/>
  </cols>
  <sheetData>
    <row r="3" spans="1:2" x14ac:dyDescent="0.3">
      <c r="A3" s="2" t="s">
        <v>38</v>
      </c>
      <c r="B3" t="s">
        <v>45</v>
      </c>
    </row>
    <row r="4" spans="1:2" x14ac:dyDescent="0.3">
      <c r="A4" s="3" t="s">
        <v>29</v>
      </c>
      <c r="B4" s="28">
        <v>5920</v>
      </c>
    </row>
    <row r="5" spans="1:2" x14ac:dyDescent="0.3">
      <c r="A5" s="3" t="s">
        <v>27</v>
      </c>
      <c r="B5" s="28">
        <v>4450</v>
      </c>
    </row>
    <row r="6" spans="1:2" x14ac:dyDescent="0.3">
      <c r="A6" s="3" t="s">
        <v>26</v>
      </c>
      <c r="B6" s="28">
        <v>1360</v>
      </c>
    </row>
    <row r="7" spans="1:2" x14ac:dyDescent="0.3">
      <c r="A7" s="3" t="s">
        <v>30</v>
      </c>
      <c r="B7" s="28">
        <v>1720</v>
      </c>
    </row>
    <row r="8" spans="1:2" x14ac:dyDescent="0.3">
      <c r="A8" s="3" t="s">
        <v>28</v>
      </c>
      <c r="B8" s="28">
        <v>7300</v>
      </c>
    </row>
    <row r="9" spans="1:2" x14ac:dyDescent="0.3">
      <c r="A9" s="3" t="s">
        <v>39</v>
      </c>
      <c r="B9" s="28">
        <v>20750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34"/>
  <sheetViews>
    <sheetView zoomScaleNormal="100" workbookViewId="0">
      <selection activeCell="N5" sqref="N5"/>
    </sheetView>
  </sheetViews>
  <sheetFormatPr defaultRowHeight="14.4" x14ac:dyDescent="0.3"/>
  <cols>
    <col min="1" max="1" width="10.88671875" customWidth="1"/>
    <col min="2" max="2" width="13.5546875" customWidth="1"/>
    <col min="3" max="3" width="17.5546875" customWidth="1"/>
    <col min="4" max="4" width="11.109375" bestFit="1" customWidth="1"/>
    <col min="5" max="5" width="14.88671875" customWidth="1"/>
    <col min="6" max="6" width="24.33203125" customWidth="1"/>
    <col min="7" max="7" width="11.109375" customWidth="1"/>
    <col min="8" max="8" width="12.88671875" bestFit="1" customWidth="1"/>
    <col min="9" max="9" width="12.44140625" customWidth="1"/>
    <col min="10" max="10" width="11.6640625" customWidth="1"/>
    <col min="11" max="11" width="15.88671875" customWidth="1"/>
  </cols>
  <sheetData>
    <row r="1" spans="1:11" x14ac:dyDescent="0.3">
      <c r="A1" s="9" t="s">
        <v>0</v>
      </c>
      <c r="B1" s="10" t="s">
        <v>6</v>
      </c>
      <c r="C1" s="10" t="s">
        <v>2</v>
      </c>
      <c r="D1" s="10" t="s">
        <v>1</v>
      </c>
      <c r="E1" s="10" t="s">
        <v>3</v>
      </c>
      <c r="F1" s="10" t="s">
        <v>4</v>
      </c>
      <c r="G1" s="10" t="s">
        <v>34</v>
      </c>
      <c r="H1" s="10" t="s">
        <v>5</v>
      </c>
      <c r="I1" s="10" t="s">
        <v>35</v>
      </c>
      <c r="J1" s="10" t="s">
        <v>36</v>
      </c>
      <c r="K1" s="11" t="s">
        <v>37</v>
      </c>
    </row>
    <row r="2" spans="1:11" x14ac:dyDescent="0.3">
      <c r="A2" s="12">
        <v>101</v>
      </c>
      <c r="B2" s="13">
        <f ca="1">TODAY()</f>
        <v>46317</v>
      </c>
      <c r="C2" s="14" t="s">
        <v>7</v>
      </c>
      <c r="D2" s="14" t="s">
        <v>12</v>
      </c>
      <c r="E2" s="14" t="s">
        <v>18</v>
      </c>
      <c r="F2" s="14" t="s">
        <v>23</v>
      </c>
      <c r="G2" s="14" t="s">
        <v>26</v>
      </c>
      <c r="H2" s="14" t="str">
        <f>IF(G2="COKE","BEVERAGE",IF(G2="CAKE","DESSERT",IF(G2="PIZZA","MAIN COURSE",IF(G2="BURGER","MAIN COURSE",IF(G2="PASTRY","DESSERT","")))))</f>
        <v>BEVERAGE</v>
      </c>
      <c r="I2" s="14">
        <f>IF(G2="COKE",20,IF(G2="CAKE",50,IF(G2="PIZZA",100,IF(G2="BURGER",80,IF(G2="PASTRY",40)))))</f>
        <v>20</v>
      </c>
      <c r="J2" s="14">
        <v>4</v>
      </c>
      <c r="K2" s="15">
        <f>I2*J2</f>
        <v>80</v>
      </c>
    </row>
    <row r="3" spans="1:11" x14ac:dyDescent="0.3">
      <c r="A3" s="16">
        <v>102</v>
      </c>
      <c r="B3" s="17">
        <v>45158</v>
      </c>
      <c r="C3" s="18" t="s">
        <v>8</v>
      </c>
      <c r="D3" s="18" t="s">
        <v>13</v>
      </c>
      <c r="E3" s="18" t="s">
        <v>19</v>
      </c>
      <c r="F3" s="18" t="s">
        <v>24</v>
      </c>
      <c r="G3" s="18" t="s">
        <v>27</v>
      </c>
      <c r="H3" s="14" t="str">
        <f t="shared" ref="H3:H66" si="0">IF(G3="COKE","BEVERAGE",IF(G3="CAKE","DESSERT",IF(G3="PIZZA","MAIN COURSE",IF(G3="BURGER","MAIN COURSE",IF(G3="PASTRY","DESSERT","")))))</f>
        <v>DESSERT</v>
      </c>
      <c r="I3" s="14">
        <f t="shared" ref="I3:I66" si="1">IF(G3="COKE",20,IF(G3="CAKE",50,IF(G3="PIZZA",100,IF(G3="BURGER",80,IF(G3="PASTRY",40)))))</f>
        <v>50</v>
      </c>
      <c r="J3" s="18">
        <v>3</v>
      </c>
      <c r="K3" s="19">
        <f t="shared" ref="K3:K66" si="2">I3*J3</f>
        <v>150</v>
      </c>
    </row>
    <row r="4" spans="1:11" x14ac:dyDescent="0.3">
      <c r="A4" s="12">
        <v>103</v>
      </c>
      <c r="B4" s="13">
        <v>45097</v>
      </c>
      <c r="C4" s="14" t="s">
        <v>9</v>
      </c>
      <c r="D4" s="14" t="s">
        <v>14</v>
      </c>
      <c r="E4" s="13" t="s">
        <v>20</v>
      </c>
      <c r="F4" s="14" t="s">
        <v>23</v>
      </c>
      <c r="G4" s="14" t="s">
        <v>28</v>
      </c>
      <c r="H4" s="14" t="str">
        <f t="shared" si="0"/>
        <v>MAIN COURSE</v>
      </c>
      <c r="I4" s="14">
        <f t="shared" si="1"/>
        <v>100</v>
      </c>
      <c r="J4" s="14">
        <v>4</v>
      </c>
      <c r="K4" s="15">
        <f t="shared" si="2"/>
        <v>400</v>
      </c>
    </row>
    <row r="5" spans="1:11" x14ac:dyDescent="0.3">
      <c r="A5" s="16">
        <v>104</v>
      </c>
      <c r="B5" s="17">
        <v>45064</v>
      </c>
      <c r="C5" s="18" t="s">
        <v>10</v>
      </c>
      <c r="D5" s="18" t="s">
        <v>15</v>
      </c>
      <c r="E5" s="18" t="s">
        <v>21</v>
      </c>
      <c r="F5" s="18" t="s">
        <v>25</v>
      </c>
      <c r="G5" s="18" t="s">
        <v>29</v>
      </c>
      <c r="H5" s="14" t="str">
        <f t="shared" si="0"/>
        <v>MAIN COURSE</v>
      </c>
      <c r="I5" s="14">
        <f t="shared" si="1"/>
        <v>80</v>
      </c>
      <c r="J5" s="18">
        <v>5</v>
      </c>
      <c r="K5" s="19">
        <f t="shared" si="2"/>
        <v>400</v>
      </c>
    </row>
    <row r="6" spans="1:11" x14ac:dyDescent="0.3">
      <c r="A6" s="12">
        <v>105</v>
      </c>
      <c r="B6" s="13">
        <v>45142</v>
      </c>
      <c r="C6" s="14" t="s">
        <v>11</v>
      </c>
      <c r="D6" s="14" t="s">
        <v>16</v>
      </c>
      <c r="E6" s="14" t="s">
        <v>22</v>
      </c>
      <c r="F6" s="14" t="s">
        <v>25</v>
      </c>
      <c r="G6" s="14" t="s">
        <v>30</v>
      </c>
      <c r="H6" s="14" t="str">
        <f t="shared" si="0"/>
        <v>DESSERT</v>
      </c>
      <c r="I6" s="14">
        <f t="shared" si="1"/>
        <v>40</v>
      </c>
      <c r="J6" s="14">
        <v>5</v>
      </c>
      <c r="K6" s="15">
        <f t="shared" si="2"/>
        <v>200</v>
      </c>
    </row>
    <row r="7" spans="1:11" x14ac:dyDescent="0.3">
      <c r="A7" s="16">
        <v>106</v>
      </c>
      <c r="B7" s="17">
        <v>45150</v>
      </c>
      <c r="C7" s="18" t="s">
        <v>7</v>
      </c>
      <c r="D7" s="18" t="s">
        <v>17</v>
      </c>
      <c r="E7" s="18" t="s">
        <v>18</v>
      </c>
      <c r="F7" s="18" t="s">
        <v>25</v>
      </c>
      <c r="G7" s="18" t="s">
        <v>26</v>
      </c>
      <c r="H7" s="14" t="str">
        <f t="shared" si="0"/>
        <v>BEVERAGE</v>
      </c>
      <c r="I7" s="14">
        <f t="shared" si="1"/>
        <v>20</v>
      </c>
      <c r="J7" s="18">
        <v>2</v>
      </c>
      <c r="K7" s="19">
        <f t="shared" si="2"/>
        <v>40</v>
      </c>
    </row>
    <row r="8" spans="1:11" x14ac:dyDescent="0.3">
      <c r="A8" s="12">
        <v>107</v>
      </c>
      <c r="B8" s="13">
        <v>45031</v>
      </c>
      <c r="C8" s="14" t="s">
        <v>8</v>
      </c>
      <c r="D8" s="14" t="s">
        <v>12</v>
      </c>
      <c r="E8" s="14" t="s">
        <v>19</v>
      </c>
      <c r="F8" s="14" t="s">
        <v>23</v>
      </c>
      <c r="G8" s="14" t="s">
        <v>27</v>
      </c>
      <c r="H8" s="14" t="str">
        <f t="shared" si="0"/>
        <v>DESSERT</v>
      </c>
      <c r="I8" s="14">
        <f t="shared" si="1"/>
        <v>50</v>
      </c>
      <c r="J8" s="14">
        <v>5</v>
      </c>
      <c r="K8" s="15">
        <f t="shared" si="2"/>
        <v>250</v>
      </c>
    </row>
    <row r="9" spans="1:11" x14ac:dyDescent="0.3">
      <c r="A9" s="16">
        <v>108</v>
      </c>
      <c r="B9" s="17">
        <v>45154</v>
      </c>
      <c r="C9" s="18" t="s">
        <v>9</v>
      </c>
      <c r="D9" s="18" t="s">
        <v>13</v>
      </c>
      <c r="E9" s="17" t="s">
        <v>20</v>
      </c>
      <c r="F9" s="18" t="s">
        <v>24</v>
      </c>
      <c r="G9" s="18" t="s">
        <v>28</v>
      </c>
      <c r="H9" s="14" t="str">
        <f t="shared" si="0"/>
        <v>MAIN COURSE</v>
      </c>
      <c r="I9" s="14">
        <f t="shared" si="1"/>
        <v>100</v>
      </c>
      <c r="J9" s="18">
        <v>5</v>
      </c>
      <c r="K9" s="19">
        <f t="shared" si="2"/>
        <v>500</v>
      </c>
    </row>
    <row r="10" spans="1:11" x14ac:dyDescent="0.3">
      <c r="A10" s="12">
        <v>109</v>
      </c>
      <c r="B10" s="13">
        <v>45060</v>
      </c>
      <c r="C10" s="14" t="s">
        <v>10</v>
      </c>
      <c r="D10" s="14" t="s">
        <v>14</v>
      </c>
      <c r="E10" s="14" t="s">
        <v>21</v>
      </c>
      <c r="F10" s="14" t="s">
        <v>23</v>
      </c>
      <c r="G10" s="14" t="s">
        <v>29</v>
      </c>
      <c r="H10" s="14" t="str">
        <f t="shared" si="0"/>
        <v>MAIN COURSE</v>
      </c>
      <c r="I10" s="14">
        <f t="shared" si="1"/>
        <v>80</v>
      </c>
      <c r="J10" s="14">
        <v>2</v>
      </c>
      <c r="K10" s="15">
        <f t="shared" si="2"/>
        <v>160</v>
      </c>
    </row>
    <row r="11" spans="1:11" x14ac:dyDescent="0.3">
      <c r="A11" s="16">
        <v>110</v>
      </c>
      <c r="B11" s="17">
        <v>45065</v>
      </c>
      <c r="C11" s="18" t="s">
        <v>8</v>
      </c>
      <c r="D11" s="18" t="s">
        <v>15</v>
      </c>
      <c r="E11" s="18" t="s">
        <v>22</v>
      </c>
      <c r="F11" s="18" t="s">
        <v>25</v>
      </c>
      <c r="G11" s="18" t="s">
        <v>27</v>
      </c>
      <c r="H11" s="14" t="str">
        <f t="shared" si="0"/>
        <v>DESSERT</v>
      </c>
      <c r="I11" s="14">
        <f t="shared" si="1"/>
        <v>50</v>
      </c>
      <c r="J11" s="18">
        <v>1</v>
      </c>
      <c r="K11" s="19">
        <f t="shared" si="2"/>
        <v>50</v>
      </c>
    </row>
    <row r="12" spans="1:11" x14ac:dyDescent="0.3">
      <c r="A12" s="12">
        <v>111</v>
      </c>
      <c r="B12" s="13">
        <v>45079</v>
      </c>
      <c r="C12" s="14" t="s">
        <v>9</v>
      </c>
      <c r="D12" s="14" t="s">
        <v>12</v>
      </c>
      <c r="E12" s="14" t="s">
        <v>18</v>
      </c>
      <c r="F12" s="14" t="s">
        <v>23</v>
      </c>
      <c r="G12" s="14" t="s">
        <v>28</v>
      </c>
      <c r="H12" s="14" t="str">
        <f t="shared" si="0"/>
        <v>MAIN COURSE</v>
      </c>
      <c r="I12" s="14">
        <f t="shared" si="1"/>
        <v>100</v>
      </c>
      <c r="J12" s="14">
        <v>3</v>
      </c>
      <c r="K12" s="15">
        <f t="shared" si="2"/>
        <v>300</v>
      </c>
    </row>
    <row r="13" spans="1:11" x14ac:dyDescent="0.3">
      <c r="A13" s="16">
        <v>112</v>
      </c>
      <c r="B13" s="17">
        <f ca="1">TODAY()</f>
        <v>46317</v>
      </c>
      <c r="C13" s="18" t="s">
        <v>10</v>
      </c>
      <c r="D13" s="18" t="s">
        <v>13</v>
      </c>
      <c r="E13" s="18" t="s">
        <v>19</v>
      </c>
      <c r="F13" s="18" t="s">
        <v>24</v>
      </c>
      <c r="G13" s="18" t="s">
        <v>29</v>
      </c>
      <c r="H13" s="14" t="str">
        <f t="shared" si="0"/>
        <v>MAIN COURSE</v>
      </c>
      <c r="I13" s="14">
        <f t="shared" si="1"/>
        <v>80</v>
      </c>
      <c r="J13" s="18">
        <v>5</v>
      </c>
      <c r="K13" s="19">
        <f t="shared" si="2"/>
        <v>400</v>
      </c>
    </row>
    <row r="14" spans="1:11" x14ac:dyDescent="0.3">
      <c r="A14" s="12">
        <v>113</v>
      </c>
      <c r="B14" s="13">
        <v>45158</v>
      </c>
      <c r="C14" s="14" t="s">
        <v>11</v>
      </c>
      <c r="D14" s="14" t="s">
        <v>14</v>
      </c>
      <c r="E14" s="13" t="s">
        <v>20</v>
      </c>
      <c r="F14" s="14" t="s">
        <v>23</v>
      </c>
      <c r="G14" s="14" t="s">
        <v>30</v>
      </c>
      <c r="H14" s="14" t="str">
        <f t="shared" si="0"/>
        <v>DESSERT</v>
      </c>
      <c r="I14" s="14">
        <f t="shared" si="1"/>
        <v>40</v>
      </c>
      <c r="J14" s="14">
        <v>2</v>
      </c>
      <c r="K14" s="15">
        <f t="shared" si="2"/>
        <v>80</v>
      </c>
    </row>
    <row r="15" spans="1:11" x14ac:dyDescent="0.3">
      <c r="A15" s="16">
        <v>114</v>
      </c>
      <c r="B15" s="17">
        <v>45097</v>
      </c>
      <c r="C15" s="18" t="s">
        <v>7</v>
      </c>
      <c r="D15" s="18" t="s">
        <v>15</v>
      </c>
      <c r="E15" s="18" t="s">
        <v>21</v>
      </c>
      <c r="F15" s="18" t="s">
        <v>25</v>
      </c>
      <c r="G15" s="18" t="s">
        <v>26</v>
      </c>
      <c r="H15" s="14" t="str">
        <f t="shared" si="0"/>
        <v>BEVERAGE</v>
      </c>
      <c r="I15" s="14">
        <f t="shared" si="1"/>
        <v>20</v>
      </c>
      <c r="J15" s="18">
        <v>4</v>
      </c>
      <c r="K15" s="19">
        <f t="shared" si="2"/>
        <v>80</v>
      </c>
    </row>
    <row r="16" spans="1:11" x14ac:dyDescent="0.3">
      <c r="A16" s="12">
        <v>115</v>
      </c>
      <c r="B16" s="13">
        <v>45064</v>
      </c>
      <c r="C16" s="14" t="s">
        <v>8</v>
      </c>
      <c r="D16" s="14" t="s">
        <v>16</v>
      </c>
      <c r="E16" s="14" t="s">
        <v>22</v>
      </c>
      <c r="F16" s="14" t="s">
        <v>25</v>
      </c>
      <c r="G16" s="14" t="s">
        <v>26</v>
      </c>
      <c r="H16" s="14" t="str">
        <f t="shared" si="0"/>
        <v>BEVERAGE</v>
      </c>
      <c r="I16" s="14">
        <f t="shared" si="1"/>
        <v>20</v>
      </c>
      <c r="J16" s="14">
        <v>3</v>
      </c>
      <c r="K16" s="15">
        <f t="shared" si="2"/>
        <v>60</v>
      </c>
    </row>
    <row r="17" spans="1:11" x14ac:dyDescent="0.3">
      <c r="A17" s="16">
        <v>116</v>
      </c>
      <c r="B17" s="17">
        <v>45142</v>
      </c>
      <c r="C17" s="18" t="s">
        <v>9</v>
      </c>
      <c r="D17" s="18" t="s">
        <v>17</v>
      </c>
      <c r="E17" s="18" t="s">
        <v>18</v>
      </c>
      <c r="F17" s="18" t="s">
        <v>25</v>
      </c>
      <c r="G17" s="18" t="s">
        <v>27</v>
      </c>
      <c r="H17" s="14" t="str">
        <f t="shared" si="0"/>
        <v>DESSERT</v>
      </c>
      <c r="I17" s="14">
        <f t="shared" si="1"/>
        <v>50</v>
      </c>
      <c r="J17" s="18">
        <v>3</v>
      </c>
      <c r="K17" s="19">
        <f t="shared" si="2"/>
        <v>150</v>
      </c>
    </row>
    <row r="18" spans="1:11" x14ac:dyDescent="0.3">
      <c r="A18" s="12">
        <v>117</v>
      </c>
      <c r="B18" s="13">
        <v>45150</v>
      </c>
      <c r="C18" s="14" t="s">
        <v>10</v>
      </c>
      <c r="D18" s="14" t="s">
        <v>12</v>
      </c>
      <c r="E18" s="14" t="s">
        <v>19</v>
      </c>
      <c r="F18" s="14" t="s">
        <v>23</v>
      </c>
      <c r="G18" s="14" t="s">
        <v>28</v>
      </c>
      <c r="H18" s="14" t="str">
        <f t="shared" si="0"/>
        <v>MAIN COURSE</v>
      </c>
      <c r="I18" s="14">
        <f t="shared" si="1"/>
        <v>100</v>
      </c>
      <c r="J18" s="14">
        <v>3</v>
      </c>
      <c r="K18" s="15">
        <f t="shared" si="2"/>
        <v>300</v>
      </c>
    </row>
    <row r="19" spans="1:11" x14ac:dyDescent="0.3">
      <c r="A19" s="16">
        <v>118</v>
      </c>
      <c r="B19" s="17">
        <v>45031</v>
      </c>
      <c r="C19" s="18" t="s">
        <v>11</v>
      </c>
      <c r="D19" s="18" t="s">
        <v>13</v>
      </c>
      <c r="E19" s="17" t="s">
        <v>20</v>
      </c>
      <c r="F19" s="18" t="s">
        <v>24</v>
      </c>
      <c r="G19" s="18" t="s">
        <v>29</v>
      </c>
      <c r="H19" s="14" t="str">
        <f t="shared" si="0"/>
        <v>MAIN COURSE</v>
      </c>
      <c r="I19" s="14">
        <f t="shared" si="1"/>
        <v>80</v>
      </c>
      <c r="J19" s="18">
        <v>1</v>
      </c>
      <c r="K19" s="19">
        <f t="shared" si="2"/>
        <v>80</v>
      </c>
    </row>
    <row r="20" spans="1:11" x14ac:dyDescent="0.3">
      <c r="A20" s="12">
        <v>119</v>
      </c>
      <c r="B20" s="13">
        <v>45064</v>
      </c>
      <c r="C20" s="14" t="s">
        <v>7</v>
      </c>
      <c r="D20" s="14" t="s">
        <v>14</v>
      </c>
      <c r="E20" s="14" t="s">
        <v>21</v>
      </c>
      <c r="F20" s="14" t="s">
        <v>23</v>
      </c>
      <c r="G20" s="14" t="s">
        <v>30</v>
      </c>
      <c r="H20" s="14" t="str">
        <f t="shared" si="0"/>
        <v>DESSERT</v>
      </c>
      <c r="I20" s="14">
        <f t="shared" si="1"/>
        <v>40</v>
      </c>
      <c r="J20" s="14">
        <v>4</v>
      </c>
      <c r="K20" s="15">
        <f t="shared" si="2"/>
        <v>160</v>
      </c>
    </row>
    <row r="21" spans="1:11" x14ac:dyDescent="0.3">
      <c r="A21" s="16">
        <v>120</v>
      </c>
      <c r="B21" s="17">
        <v>45142</v>
      </c>
      <c r="C21" s="18" t="s">
        <v>8</v>
      </c>
      <c r="D21" s="18" t="s">
        <v>15</v>
      </c>
      <c r="E21" s="18" t="s">
        <v>19</v>
      </c>
      <c r="F21" s="18" t="s">
        <v>25</v>
      </c>
      <c r="G21" s="18" t="s">
        <v>26</v>
      </c>
      <c r="H21" s="14" t="str">
        <f t="shared" si="0"/>
        <v>BEVERAGE</v>
      </c>
      <c r="I21" s="14">
        <f t="shared" si="1"/>
        <v>20</v>
      </c>
      <c r="J21" s="18">
        <v>5</v>
      </c>
      <c r="K21" s="19">
        <f t="shared" si="2"/>
        <v>100</v>
      </c>
    </row>
    <row r="22" spans="1:11" x14ac:dyDescent="0.3">
      <c r="A22" s="12">
        <v>121</v>
      </c>
      <c r="B22" s="13">
        <v>45150</v>
      </c>
      <c r="C22" s="14" t="s">
        <v>9</v>
      </c>
      <c r="D22" s="14" t="s">
        <v>16</v>
      </c>
      <c r="E22" s="13" t="s">
        <v>20</v>
      </c>
      <c r="F22" s="14" t="s">
        <v>25</v>
      </c>
      <c r="G22" s="14" t="s">
        <v>27</v>
      </c>
      <c r="H22" s="14" t="str">
        <f t="shared" si="0"/>
        <v>DESSERT</v>
      </c>
      <c r="I22" s="14">
        <f t="shared" si="1"/>
        <v>50</v>
      </c>
      <c r="J22" s="14">
        <v>4</v>
      </c>
      <c r="K22" s="15">
        <f t="shared" si="2"/>
        <v>200</v>
      </c>
    </row>
    <row r="23" spans="1:11" x14ac:dyDescent="0.3">
      <c r="A23" s="16">
        <v>122</v>
      </c>
      <c r="B23" s="17">
        <v>45031</v>
      </c>
      <c r="C23" s="18" t="s">
        <v>10</v>
      </c>
      <c r="D23" s="18" t="s">
        <v>17</v>
      </c>
      <c r="E23" s="18" t="s">
        <v>21</v>
      </c>
      <c r="F23" s="18" t="s">
        <v>25</v>
      </c>
      <c r="G23" s="18" t="s">
        <v>28</v>
      </c>
      <c r="H23" s="14" t="str">
        <f t="shared" si="0"/>
        <v>MAIN COURSE</v>
      </c>
      <c r="I23" s="14">
        <f t="shared" si="1"/>
        <v>100</v>
      </c>
      <c r="J23" s="18">
        <v>1</v>
      </c>
      <c r="K23" s="19">
        <f t="shared" si="2"/>
        <v>100</v>
      </c>
    </row>
    <row r="24" spans="1:11" x14ac:dyDescent="0.3">
      <c r="A24" s="12">
        <v>123</v>
      </c>
      <c r="B24" s="13">
        <v>45154</v>
      </c>
      <c r="C24" s="14" t="s">
        <v>9</v>
      </c>
      <c r="D24" s="14" t="s">
        <v>12</v>
      </c>
      <c r="E24" s="14" t="s">
        <v>22</v>
      </c>
      <c r="F24" s="14" t="s">
        <v>23</v>
      </c>
      <c r="G24" s="14" t="s">
        <v>29</v>
      </c>
      <c r="H24" s="14" t="str">
        <f t="shared" si="0"/>
        <v>MAIN COURSE</v>
      </c>
      <c r="I24" s="14">
        <f t="shared" si="1"/>
        <v>80</v>
      </c>
      <c r="J24" s="14">
        <v>2</v>
      </c>
      <c r="K24" s="15">
        <f t="shared" si="2"/>
        <v>160</v>
      </c>
    </row>
    <row r="25" spans="1:11" x14ac:dyDescent="0.3">
      <c r="A25" s="16">
        <v>124</v>
      </c>
      <c r="B25" s="17">
        <v>45060</v>
      </c>
      <c r="C25" s="18" t="s">
        <v>10</v>
      </c>
      <c r="D25" s="18" t="s">
        <v>13</v>
      </c>
      <c r="E25" s="18" t="s">
        <v>18</v>
      </c>
      <c r="F25" s="18" t="s">
        <v>24</v>
      </c>
      <c r="G25" s="18" t="s">
        <v>27</v>
      </c>
      <c r="H25" s="14" t="str">
        <f t="shared" si="0"/>
        <v>DESSERT</v>
      </c>
      <c r="I25" s="14">
        <f t="shared" si="1"/>
        <v>50</v>
      </c>
      <c r="J25" s="18">
        <v>3</v>
      </c>
      <c r="K25" s="19">
        <f t="shared" si="2"/>
        <v>150</v>
      </c>
    </row>
    <row r="26" spans="1:11" x14ac:dyDescent="0.3">
      <c r="A26" s="12">
        <v>125</v>
      </c>
      <c r="B26" s="13">
        <v>45065</v>
      </c>
      <c r="C26" s="14" t="s">
        <v>11</v>
      </c>
      <c r="D26" s="14" t="s">
        <v>14</v>
      </c>
      <c r="E26" s="14" t="s">
        <v>19</v>
      </c>
      <c r="F26" s="14" t="s">
        <v>23</v>
      </c>
      <c r="G26" s="14" t="s">
        <v>28</v>
      </c>
      <c r="H26" s="14" t="str">
        <f t="shared" si="0"/>
        <v>MAIN COURSE</v>
      </c>
      <c r="I26" s="14">
        <f t="shared" si="1"/>
        <v>100</v>
      </c>
      <c r="J26" s="14">
        <v>5</v>
      </c>
      <c r="K26" s="15">
        <f t="shared" si="2"/>
        <v>500</v>
      </c>
    </row>
    <row r="27" spans="1:11" x14ac:dyDescent="0.3">
      <c r="A27" s="16">
        <v>126</v>
      </c>
      <c r="B27" s="17">
        <v>45079</v>
      </c>
      <c r="C27" s="18" t="s">
        <v>7</v>
      </c>
      <c r="D27" s="18" t="s">
        <v>15</v>
      </c>
      <c r="E27" s="17" t="s">
        <v>20</v>
      </c>
      <c r="F27" s="18" t="s">
        <v>25</v>
      </c>
      <c r="G27" s="18" t="s">
        <v>29</v>
      </c>
      <c r="H27" s="14" t="str">
        <f t="shared" si="0"/>
        <v>MAIN COURSE</v>
      </c>
      <c r="I27" s="14">
        <f t="shared" si="1"/>
        <v>80</v>
      </c>
      <c r="J27" s="18">
        <v>3</v>
      </c>
      <c r="K27" s="19">
        <f t="shared" si="2"/>
        <v>240</v>
      </c>
    </row>
    <row r="28" spans="1:11" x14ac:dyDescent="0.3">
      <c r="A28" s="12">
        <v>127</v>
      </c>
      <c r="B28" s="13">
        <f ca="1">TODAY()</f>
        <v>46317</v>
      </c>
      <c r="C28" s="14" t="s">
        <v>8</v>
      </c>
      <c r="D28" s="14" t="s">
        <v>12</v>
      </c>
      <c r="E28" s="14" t="s">
        <v>21</v>
      </c>
      <c r="F28" s="14" t="s">
        <v>23</v>
      </c>
      <c r="G28" s="14" t="s">
        <v>27</v>
      </c>
      <c r="H28" s="14" t="str">
        <f t="shared" si="0"/>
        <v>DESSERT</v>
      </c>
      <c r="I28" s="14">
        <f t="shared" si="1"/>
        <v>50</v>
      </c>
      <c r="J28" s="14">
        <v>2</v>
      </c>
      <c r="K28" s="15">
        <f t="shared" si="2"/>
        <v>100</v>
      </c>
    </row>
    <row r="29" spans="1:11" x14ac:dyDescent="0.3">
      <c r="A29" s="16">
        <v>128</v>
      </c>
      <c r="B29" s="17">
        <v>45158</v>
      </c>
      <c r="C29" s="18" t="s">
        <v>9</v>
      </c>
      <c r="D29" s="18" t="s">
        <v>13</v>
      </c>
      <c r="E29" s="18" t="s">
        <v>22</v>
      </c>
      <c r="F29" s="18" t="s">
        <v>24</v>
      </c>
      <c r="G29" s="18" t="s">
        <v>28</v>
      </c>
      <c r="H29" s="14" t="str">
        <f t="shared" si="0"/>
        <v>MAIN COURSE</v>
      </c>
      <c r="I29" s="14">
        <f t="shared" si="1"/>
        <v>100</v>
      </c>
      <c r="J29" s="18">
        <v>4</v>
      </c>
      <c r="K29" s="19">
        <f t="shared" si="2"/>
        <v>400</v>
      </c>
    </row>
    <row r="30" spans="1:11" x14ac:dyDescent="0.3">
      <c r="A30" s="12">
        <v>129</v>
      </c>
      <c r="B30" s="13">
        <v>45097</v>
      </c>
      <c r="C30" s="14" t="s">
        <v>10</v>
      </c>
      <c r="D30" s="14" t="s">
        <v>14</v>
      </c>
      <c r="E30" s="14" t="s">
        <v>18</v>
      </c>
      <c r="F30" s="14" t="s">
        <v>23</v>
      </c>
      <c r="G30" s="14" t="s">
        <v>29</v>
      </c>
      <c r="H30" s="14" t="str">
        <f t="shared" si="0"/>
        <v>MAIN COURSE</v>
      </c>
      <c r="I30" s="14">
        <f t="shared" si="1"/>
        <v>80</v>
      </c>
      <c r="J30" s="14">
        <v>3</v>
      </c>
      <c r="K30" s="15">
        <f t="shared" si="2"/>
        <v>240</v>
      </c>
    </row>
    <row r="31" spans="1:11" x14ac:dyDescent="0.3">
      <c r="A31" s="16">
        <v>130</v>
      </c>
      <c r="B31" s="17">
        <v>45064</v>
      </c>
      <c r="C31" s="18" t="s">
        <v>8</v>
      </c>
      <c r="D31" s="18" t="s">
        <v>15</v>
      </c>
      <c r="E31" s="18" t="s">
        <v>19</v>
      </c>
      <c r="F31" s="18" t="s">
        <v>25</v>
      </c>
      <c r="G31" s="18" t="s">
        <v>30</v>
      </c>
      <c r="H31" s="14" t="str">
        <f t="shared" si="0"/>
        <v>DESSERT</v>
      </c>
      <c r="I31" s="14">
        <f t="shared" si="1"/>
        <v>40</v>
      </c>
      <c r="J31" s="18">
        <v>2</v>
      </c>
      <c r="K31" s="19">
        <f t="shared" si="2"/>
        <v>80</v>
      </c>
    </row>
    <row r="32" spans="1:11" x14ac:dyDescent="0.3">
      <c r="A32" s="12">
        <v>131</v>
      </c>
      <c r="B32" s="13">
        <v>45142</v>
      </c>
      <c r="C32" s="14" t="s">
        <v>9</v>
      </c>
      <c r="D32" s="14" t="s">
        <v>15</v>
      </c>
      <c r="E32" s="13" t="s">
        <v>20</v>
      </c>
      <c r="F32" s="14" t="s">
        <v>25</v>
      </c>
      <c r="G32" s="14" t="s">
        <v>26</v>
      </c>
      <c r="H32" s="14" t="str">
        <f t="shared" si="0"/>
        <v>BEVERAGE</v>
      </c>
      <c r="I32" s="14">
        <f t="shared" si="1"/>
        <v>20</v>
      </c>
      <c r="J32" s="14">
        <v>2</v>
      </c>
      <c r="K32" s="15">
        <f t="shared" si="2"/>
        <v>40</v>
      </c>
    </row>
    <row r="33" spans="1:11" x14ac:dyDescent="0.3">
      <c r="A33" s="16">
        <v>132</v>
      </c>
      <c r="B33" s="17">
        <v>45150</v>
      </c>
      <c r="C33" s="18" t="s">
        <v>10</v>
      </c>
      <c r="D33" s="18" t="s">
        <v>12</v>
      </c>
      <c r="E33" s="18" t="s">
        <v>21</v>
      </c>
      <c r="F33" s="18" t="s">
        <v>23</v>
      </c>
      <c r="G33" s="18" t="s">
        <v>27</v>
      </c>
      <c r="H33" s="14" t="str">
        <f t="shared" si="0"/>
        <v>DESSERT</v>
      </c>
      <c r="I33" s="14">
        <f t="shared" si="1"/>
        <v>50</v>
      </c>
      <c r="J33" s="18">
        <v>4</v>
      </c>
      <c r="K33" s="19">
        <f t="shared" si="2"/>
        <v>200</v>
      </c>
    </row>
    <row r="34" spans="1:11" x14ac:dyDescent="0.3">
      <c r="A34" s="12">
        <v>133</v>
      </c>
      <c r="B34" s="13">
        <v>45031</v>
      </c>
      <c r="C34" s="14" t="s">
        <v>11</v>
      </c>
      <c r="D34" s="14" t="s">
        <v>13</v>
      </c>
      <c r="E34" s="14" t="s">
        <v>22</v>
      </c>
      <c r="F34" s="14" t="s">
        <v>24</v>
      </c>
      <c r="G34" s="14" t="s">
        <v>28</v>
      </c>
      <c r="H34" s="14" t="str">
        <f t="shared" si="0"/>
        <v>MAIN COURSE</v>
      </c>
      <c r="I34" s="14">
        <f t="shared" si="1"/>
        <v>100</v>
      </c>
      <c r="J34" s="14">
        <v>3</v>
      </c>
      <c r="K34" s="15">
        <f t="shared" si="2"/>
        <v>300</v>
      </c>
    </row>
    <row r="35" spans="1:11" x14ac:dyDescent="0.3">
      <c r="A35" s="16">
        <v>134</v>
      </c>
      <c r="B35" s="17">
        <v>45064</v>
      </c>
      <c r="C35" s="18" t="s">
        <v>7</v>
      </c>
      <c r="D35" s="18" t="s">
        <v>14</v>
      </c>
      <c r="E35" s="18" t="s">
        <v>18</v>
      </c>
      <c r="F35" s="18" t="s">
        <v>23</v>
      </c>
      <c r="G35" s="18" t="s">
        <v>29</v>
      </c>
      <c r="H35" s="14" t="str">
        <f t="shared" si="0"/>
        <v>MAIN COURSE</v>
      </c>
      <c r="I35" s="14">
        <f t="shared" si="1"/>
        <v>80</v>
      </c>
      <c r="J35" s="18">
        <v>5</v>
      </c>
      <c r="K35" s="19">
        <f t="shared" si="2"/>
        <v>400</v>
      </c>
    </row>
    <row r="36" spans="1:11" x14ac:dyDescent="0.3">
      <c r="A36" s="12">
        <v>135</v>
      </c>
      <c r="B36" s="13">
        <v>45142</v>
      </c>
      <c r="C36" s="14" t="s">
        <v>8</v>
      </c>
      <c r="D36" s="14" t="s">
        <v>15</v>
      </c>
      <c r="E36" s="14" t="s">
        <v>19</v>
      </c>
      <c r="F36" s="14" t="s">
        <v>25</v>
      </c>
      <c r="G36" s="14" t="s">
        <v>27</v>
      </c>
      <c r="H36" s="14" t="str">
        <f t="shared" si="0"/>
        <v>DESSERT</v>
      </c>
      <c r="I36" s="14">
        <f t="shared" si="1"/>
        <v>50</v>
      </c>
      <c r="J36" s="14">
        <v>3</v>
      </c>
      <c r="K36" s="15">
        <f t="shared" si="2"/>
        <v>150</v>
      </c>
    </row>
    <row r="37" spans="1:11" x14ac:dyDescent="0.3">
      <c r="A37" s="16">
        <v>136</v>
      </c>
      <c r="B37" s="17">
        <v>45150</v>
      </c>
      <c r="C37" s="18" t="s">
        <v>9</v>
      </c>
      <c r="D37" s="18" t="s">
        <v>16</v>
      </c>
      <c r="E37" s="17" t="s">
        <v>20</v>
      </c>
      <c r="F37" s="18" t="s">
        <v>25</v>
      </c>
      <c r="G37" s="18" t="s">
        <v>28</v>
      </c>
      <c r="H37" s="14" t="str">
        <f t="shared" si="0"/>
        <v>MAIN COURSE</v>
      </c>
      <c r="I37" s="14">
        <f t="shared" si="1"/>
        <v>100</v>
      </c>
      <c r="J37" s="18">
        <v>2</v>
      </c>
      <c r="K37" s="19">
        <f t="shared" si="2"/>
        <v>200</v>
      </c>
    </row>
    <row r="38" spans="1:11" x14ac:dyDescent="0.3">
      <c r="A38" s="12">
        <v>137</v>
      </c>
      <c r="B38" s="13">
        <v>45031</v>
      </c>
      <c r="C38" s="14" t="s">
        <v>9</v>
      </c>
      <c r="D38" s="14" t="s">
        <v>17</v>
      </c>
      <c r="E38" s="14" t="s">
        <v>21</v>
      </c>
      <c r="F38" s="14" t="s">
        <v>25</v>
      </c>
      <c r="G38" s="14" t="s">
        <v>29</v>
      </c>
      <c r="H38" s="14" t="str">
        <f t="shared" si="0"/>
        <v>MAIN COURSE</v>
      </c>
      <c r="I38" s="14">
        <f t="shared" si="1"/>
        <v>80</v>
      </c>
      <c r="J38" s="14">
        <v>4</v>
      </c>
      <c r="K38" s="15">
        <f t="shared" si="2"/>
        <v>320</v>
      </c>
    </row>
    <row r="39" spans="1:11" x14ac:dyDescent="0.3">
      <c r="A39" s="16">
        <v>138</v>
      </c>
      <c r="B39" s="17">
        <v>45154</v>
      </c>
      <c r="C39" s="18" t="s">
        <v>10</v>
      </c>
      <c r="D39" s="18" t="s">
        <v>12</v>
      </c>
      <c r="E39" s="18" t="s">
        <v>22</v>
      </c>
      <c r="F39" s="18" t="s">
        <v>23</v>
      </c>
      <c r="G39" s="18" t="s">
        <v>30</v>
      </c>
      <c r="H39" s="14" t="str">
        <f t="shared" si="0"/>
        <v>DESSERT</v>
      </c>
      <c r="I39" s="14">
        <f t="shared" si="1"/>
        <v>40</v>
      </c>
      <c r="J39" s="18">
        <v>5</v>
      </c>
      <c r="K39" s="19">
        <f t="shared" si="2"/>
        <v>200</v>
      </c>
    </row>
    <row r="40" spans="1:11" x14ac:dyDescent="0.3">
      <c r="A40" s="12">
        <v>139</v>
      </c>
      <c r="B40" s="13">
        <v>45060</v>
      </c>
      <c r="C40" s="14" t="s">
        <v>8</v>
      </c>
      <c r="D40" s="14" t="s">
        <v>13</v>
      </c>
      <c r="E40" s="14" t="s">
        <v>18</v>
      </c>
      <c r="F40" s="14" t="s">
        <v>24</v>
      </c>
      <c r="G40" s="14" t="s">
        <v>26</v>
      </c>
      <c r="H40" s="14" t="str">
        <f t="shared" si="0"/>
        <v>BEVERAGE</v>
      </c>
      <c r="I40" s="14">
        <f t="shared" si="1"/>
        <v>20</v>
      </c>
      <c r="J40" s="14">
        <v>2</v>
      </c>
      <c r="K40" s="15">
        <f t="shared" si="2"/>
        <v>40</v>
      </c>
    </row>
    <row r="41" spans="1:11" x14ac:dyDescent="0.3">
      <c r="A41" s="16">
        <v>140</v>
      </c>
      <c r="B41" s="17">
        <v>45065</v>
      </c>
      <c r="C41" s="18" t="s">
        <v>9</v>
      </c>
      <c r="D41" s="18" t="s">
        <v>14</v>
      </c>
      <c r="E41" s="18" t="s">
        <v>19</v>
      </c>
      <c r="F41" s="18" t="s">
        <v>23</v>
      </c>
      <c r="G41" s="18" t="s">
        <v>26</v>
      </c>
      <c r="H41" s="14" t="str">
        <f t="shared" si="0"/>
        <v>BEVERAGE</v>
      </c>
      <c r="I41" s="14">
        <f t="shared" si="1"/>
        <v>20</v>
      </c>
      <c r="J41" s="18">
        <v>4</v>
      </c>
      <c r="K41" s="19">
        <f t="shared" si="2"/>
        <v>80</v>
      </c>
    </row>
    <row r="42" spans="1:11" x14ac:dyDescent="0.3">
      <c r="A42" s="12">
        <v>141</v>
      </c>
      <c r="B42" s="13">
        <v>45079</v>
      </c>
      <c r="C42" s="14" t="s">
        <v>10</v>
      </c>
      <c r="D42" s="14" t="s">
        <v>15</v>
      </c>
      <c r="E42" s="13" t="s">
        <v>20</v>
      </c>
      <c r="F42" s="14" t="s">
        <v>25</v>
      </c>
      <c r="G42" s="14" t="s">
        <v>27</v>
      </c>
      <c r="H42" s="14" t="str">
        <f t="shared" si="0"/>
        <v>DESSERT</v>
      </c>
      <c r="I42" s="14">
        <f t="shared" si="1"/>
        <v>50</v>
      </c>
      <c r="J42" s="14">
        <v>3</v>
      </c>
      <c r="K42" s="15">
        <f t="shared" si="2"/>
        <v>150</v>
      </c>
    </row>
    <row r="43" spans="1:11" x14ac:dyDescent="0.3">
      <c r="A43" s="16">
        <v>142</v>
      </c>
      <c r="B43" s="17">
        <f ca="1">TODAY()</f>
        <v>46317</v>
      </c>
      <c r="C43" s="18" t="s">
        <v>11</v>
      </c>
      <c r="D43" s="18" t="s">
        <v>16</v>
      </c>
      <c r="E43" s="18" t="s">
        <v>21</v>
      </c>
      <c r="F43" s="18" t="s">
        <v>25</v>
      </c>
      <c r="G43" s="18" t="s">
        <v>28</v>
      </c>
      <c r="H43" s="14" t="str">
        <f t="shared" si="0"/>
        <v>MAIN COURSE</v>
      </c>
      <c r="I43" s="14">
        <f t="shared" si="1"/>
        <v>100</v>
      </c>
      <c r="J43" s="18">
        <v>4</v>
      </c>
      <c r="K43" s="19">
        <f t="shared" si="2"/>
        <v>400</v>
      </c>
    </row>
    <row r="44" spans="1:11" x14ac:dyDescent="0.3">
      <c r="A44" s="12">
        <v>143</v>
      </c>
      <c r="B44" s="13">
        <v>45158</v>
      </c>
      <c r="C44" s="14" t="s">
        <v>7</v>
      </c>
      <c r="D44" s="14" t="s">
        <v>17</v>
      </c>
      <c r="E44" s="14" t="s">
        <v>19</v>
      </c>
      <c r="F44" s="14" t="s">
        <v>25</v>
      </c>
      <c r="G44" s="14" t="s">
        <v>29</v>
      </c>
      <c r="H44" s="14" t="str">
        <f t="shared" si="0"/>
        <v>MAIN COURSE</v>
      </c>
      <c r="I44" s="14">
        <f t="shared" si="1"/>
        <v>80</v>
      </c>
      <c r="J44" s="14">
        <v>3</v>
      </c>
      <c r="K44" s="15">
        <f t="shared" si="2"/>
        <v>240</v>
      </c>
    </row>
    <row r="45" spans="1:11" x14ac:dyDescent="0.3">
      <c r="A45" s="16">
        <v>144</v>
      </c>
      <c r="B45" s="17">
        <v>45142</v>
      </c>
      <c r="C45" s="18" t="s">
        <v>8</v>
      </c>
      <c r="D45" s="18" t="s">
        <v>12</v>
      </c>
      <c r="E45" s="17" t="s">
        <v>20</v>
      </c>
      <c r="F45" s="18" t="s">
        <v>23</v>
      </c>
      <c r="G45" s="18" t="s">
        <v>30</v>
      </c>
      <c r="H45" s="14" t="str">
        <f t="shared" si="0"/>
        <v>DESSERT</v>
      </c>
      <c r="I45" s="14">
        <f t="shared" si="1"/>
        <v>40</v>
      </c>
      <c r="J45" s="18">
        <v>5</v>
      </c>
      <c r="K45" s="19">
        <f t="shared" si="2"/>
        <v>200</v>
      </c>
    </row>
    <row r="46" spans="1:11" x14ac:dyDescent="0.3">
      <c r="A46" s="12">
        <v>145</v>
      </c>
      <c r="B46" s="13">
        <v>45150</v>
      </c>
      <c r="C46" s="14" t="s">
        <v>9</v>
      </c>
      <c r="D46" s="14" t="s">
        <v>13</v>
      </c>
      <c r="E46" s="14" t="s">
        <v>21</v>
      </c>
      <c r="F46" s="14" t="s">
        <v>24</v>
      </c>
      <c r="G46" s="14" t="s">
        <v>26</v>
      </c>
      <c r="H46" s="14" t="str">
        <f t="shared" si="0"/>
        <v>BEVERAGE</v>
      </c>
      <c r="I46" s="14">
        <f t="shared" si="1"/>
        <v>20</v>
      </c>
      <c r="J46" s="14">
        <v>3</v>
      </c>
      <c r="K46" s="15">
        <f t="shared" si="2"/>
        <v>60</v>
      </c>
    </row>
    <row r="47" spans="1:11" x14ac:dyDescent="0.3">
      <c r="A47" s="16">
        <v>146</v>
      </c>
      <c r="B47" s="17">
        <v>45031</v>
      </c>
      <c r="C47" s="18" t="s">
        <v>10</v>
      </c>
      <c r="D47" s="18" t="s">
        <v>14</v>
      </c>
      <c r="E47" s="18" t="s">
        <v>22</v>
      </c>
      <c r="F47" s="18" t="s">
        <v>23</v>
      </c>
      <c r="G47" s="18" t="s">
        <v>27</v>
      </c>
      <c r="H47" s="14" t="str">
        <f t="shared" si="0"/>
        <v>DESSERT</v>
      </c>
      <c r="I47" s="14">
        <f t="shared" si="1"/>
        <v>50</v>
      </c>
      <c r="J47" s="18">
        <v>1</v>
      </c>
      <c r="K47" s="19">
        <f t="shared" si="2"/>
        <v>50</v>
      </c>
    </row>
    <row r="48" spans="1:11" x14ac:dyDescent="0.3">
      <c r="A48" s="12">
        <v>147</v>
      </c>
      <c r="B48" s="13">
        <v>45154</v>
      </c>
      <c r="C48" s="14" t="s">
        <v>11</v>
      </c>
      <c r="D48" s="14" t="s">
        <v>13</v>
      </c>
      <c r="E48" s="14" t="s">
        <v>18</v>
      </c>
      <c r="F48" s="14" t="s">
        <v>24</v>
      </c>
      <c r="G48" s="14" t="s">
        <v>28</v>
      </c>
      <c r="H48" s="14" t="str">
        <f t="shared" si="0"/>
        <v>MAIN COURSE</v>
      </c>
      <c r="I48" s="14">
        <f t="shared" si="1"/>
        <v>100</v>
      </c>
      <c r="J48" s="14">
        <v>3</v>
      </c>
      <c r="K48" s="15">
        <f t="shared" si="2"/>
        <v>300</v>
      </c>
    </row>
    <row r="49" spans="1:11" x14ac:dyDescent="0.3">
      <c r="A49" s="16">
        <v>148</v>
      </c>
      <c r="B49" s="17">
        <v>45060</v>
      </c>
      <c r="C49" s="18" t="s">
        <v>7</v>
      </c>
      <c r="D49" s="18" t="s">
        <v>14</v>
      </c>
      <c r="E49" s="18" t="s">
        <v>19</v>
      </c>
      <c r="F49" s="18" t="s">
        <v>23</v>
      </c>
      <c r="G49" s="18" t="s">
        <v>29</v>
      </c>
      <c r="H49" s="14" t="str">
        <f t="shared" si="0"/>
        <v>MAIN COURSE</v>
      </c>
      <c r="I49" s="14">
        <f t="shared" si="1"/>
        <v>80</v>
      </c>
      <c r="J49" s="18">
        <v>4</v>
      </c>
      <c r="K49" s="19">
        <f t="shared" si="2"/>
        <v>320</v>
      </c>
    </row>
    <row r="50" spans="1:11" x14ac:dyDescent="0.3">
      <c r="A50" s="12">
        <v>149</v>
      </c>
      <c r="B50" s="13">
        <v>45065</v>
      </c>
      <c r="C50" s="14" t="s">
        <v>8</v>
      </c>
      <c r="D50" s="14" t="s">
        <v>15</v>
      </c>
      <c r="E50" s="13" t="s">
        <v>20</v>
      </c>
      <c r="F50" s="14" t="s">
        <v>25</v>
      </c>
      <c r="G50" s="14" t="s">
        <v>27</v>
      </c>
      <c r="H50" s="14" t="str">
        <f t="shared" si="0"/>
        <v>DESSERT</v>
      </c>
      <c r="I50" s="14">
        <f t="shared" si="1"/>
        <v>50</v>
      </c>
      <c r="J50" s="14">
        <v>5</v>
      </c>
      <c r="K50" s="15">
        <f t="shared" si="2"/>
        <v>250</v>
      </c>
    </row>
    <row r="51" spans="1:11" x14ac:dyDescent="0.3">
      <c r="A51" s="16">
        <v>150</v>
      </c>
      <c r="B51" s="17">
        <v>45079</v>
      </c>
      <c r="C51" s="18" t="s">
        <v>9</v>
      </c>
      <c r="D51" s="18" t="s">
        <v>12</v>
      </c>
      <c r="E51" s="18" t="s">
        <v>21</v>
      </c>
      <c r="F51" s="18" t="s">
        <v>23</v>
      </c>
      <c r="G51" s="18" t="s">
        <v>29</v>
      </c>
      <c r="H51" s="14" t="str">
        <f t="shared" si="0"/>
        <v>MAIN COURSE</v>
      </c>
      <c r="I51" s="14">
        <f t="shared" si="1"/>
        <v>80</v>
      </c>
      <c r="J51" s="18">
        <v>2</v>
      </c>
      <c r="K51" s="19">
        <f t="shared" si="2"/>
        <v>160</v>
      </c>
    </row>
    <row r="52" spans="1:11" x14ac:dyDescent="0.3">
      <c r="A52" s="12">
        <v>151</v>
      </c>
      <c r="B52" s="13">
        <f ca="1">TODAY()</f>
        <v>46317</v>
      </c>
      <c r="C52" s="14" t="s">
        <v>10</v>
      </c>
      <c r="D52" s="14" t="s">
        <v>13</v>
      </c>
      <c r="E52" s="14" t="s">
        <v>22</v>
      </c>
      <c r="F52" s="14" t="s">
        <v>24</v>
      </c>
      <c r="G52" s="14" t="s">
        <v>27</v>
      </c>
      <c r="H52" s="14" t="str">
        <f t="shared" si="0"/>
        <v>DESSERT</v>
      </c>
      <c r="I52" s="14">
        <f t="shared" si="1"/>
        <v>50</v>
      </c>
      <c r="J52" s="14">
        <v>3</v>
      </c>
      <c r="K52" s="15">
        <f t="shared" si="2"/>
        <v>150</v>
      </c>
    </row>
    <row r="53" spans="1:11" x14ac:dyDescent="0.3">
      <c r="A53" s="16">
        <v>152</v>
      </c>
      <c r="B53" s="17">
        <v>45158</v>
      </c>
      <c r="C53" s="18" t="s">
        <v>9</v>
      </c>
      <c r="D53" s="18" t="s">
        <v>14</v>
      </c>
      <c r="E53" s="18" t="s">
        <v>18</v>
      </c>
      <c r="F53" s="18" t="s">
        <v>23</v>
      </c>
      <c r="G53" s="18" t="s">
        <v>28</v>
      </c>
      <c r="H53" s="14" t="str">
        <f t="shared" si="0"/>
        <v>MAIN COURSE</v>
      </c>
      <c r="I53" s="14">
        <f t="shared" si="1"/>
        <v>100</v>
      </c>
      <c r="J53" s="18">
        <v>4</v>
      </c>
      <c r="K53" s="19">
        <f t="shared" si="2"/>
        <v>400</v>
      </c>
    </row>
    <row r="54" spans="1:11" x14ac:dyDescent="0.3">
      <c r="A54" s="12">
        <v>153</v>
      </c>
      <c r="B54" s="13">
        <v>45097</v>
      </c>
      <c r="C54" s="14" t="s">
        <v>10</v>
      </c>
      <c r="D54" s="14" t="s">
        <v>15</v>
      </c>
      <c r="E54" s="14" t="s">
        <v>19</v>
      </c>
      <c r="F54" s="14" t="s">
        <v>25</v>
      </c>
      <c r="G54" s="14" t="s">
        <v>29</v>
      </c>
      <c r="H54" s="14" t="str">
        <f t="shared" si="0"/>
        <v>MAIN COURSE</v>
      </c>
      <c r="I54" s="14">
        <f t="shared" si="1"/>
        <v>80</v>
      </c>
      <c r="J54" s="14">
        <v>1</v>
      </c>
      <c r="K54" s="15">
        <f t="shared" si="2"/>
        <v>80</v>
      </c>
    </row>
    <row r="55" spans="1:11" x14ac:dyDescent="0.3">
      <c r="A55" s="16">
        <v>154</v>
      </c>
      <c r="B55" s="17">
        <v>45064</v>
      </c>
      <c r="C55" s="18" t="s">
        <v>11</v>
      </c>
      <c r="D55" s="18" t="s">
        <v>15</v>
      </c>
      <c r="E55" s="17" t="s">
        <v>20</v>
      </c>
      <c r="F55" s="18" t="s">
        <v>25</v>
      </c>
      <c r="G55" s="18" t="s">
        <v>30</v>
      </c>
      <c r="H55" s="14" t="str">
        <f t="shared" si="0"/>
        <v>DESSERT</v>
      </c>
      <c r="I55" s="14">
        <f t="shared" si="1"/>
        <v>40</v>
      </c>
      <c r="J55" s="18">
        <v>1</v>
      </c>
      <c r="K55" s="19">
        <f t="shared" si="2"/>
        <v>40</v>
      </c>
    </row>
    <row r="56" spans="1:11" x14ac:dyDescent="0.3">
      <c r="A56" s="12">
        <v>155</v>
      </c>
      <c r="B56" s="13">
        <v>45142</v>
      </c>
      <c r="C56" s="14" t="s">
        <v>7</v>
      </c>
      <c r="D56" s="14" t="s">
        <v>12</v>
      </c>
      <c r="E56" s="14" t="s">
        <v>21</v>
      </c>
      <c r="F56" s="14" t="s">
        <v>23</v>
      </c>
      <c r="G56" s="14" t="s">
        <v>26</v>
      </c>
      <c r="H56" s="14" t="str">
        <f t="shared" si="0"/>
        <v>BEVERAGE</v>
      </c>
      <c r="I56" s="14">
        <f t="shared" si="1"/>
        <v>20</v>
      </c>
      <c r="J56" s="14">
        <v>4</v>
      </c>
      <c r="K56" s="15">
        <f t="shared" si="2"/>
        <v>80</v>
      </c>
    </row>
    <row r="57" spans="1:11" x14ac:dyDescent="0.3">
      <c r="A57" s="16">
        <v>156</v>
      </c>
      <c r="B57" s="17">
        <v>45150</v>
      </c>
      <c r="C57" s="18" t="s">
        <v>8</v>
      </c>
      <c r="D57" s="18" t="s">
        <v>13</v>
      </c>
      <c r="E57" s="18" t="s">
        <v>22</v>
      </c>
      <c r="F57" s="18" t="s">
        <v>24</v>
      </c>
      <c r="G57" s="18" t="s">
        <v>26</v>
      </c>
      <c r="H57" s="14" t="str">
        <f t="shared" si="0"/>
        <v>BEVERAGE</v>
      </c>
      <c r="I57" s="14">
        <f t="shared" si="1"/>
        <v>20</v>
      </c>
      <c r="J57" s="18">
        <v>1</v>
      </c>
      <c r="K57" s="19">
        <f t="shared" si="2"/>
        <v>20</v>
      </c>
    </row>
    <row r="58" spans="1:11" x14ac:dyDescent="0.3">
      <c r="A58" s="12">
        <v>157</v>
      </c>
      <c r="B58" s="13">
        <v>45031</v>
      </c>
      <c r="C58" s="14" t="s">
        <v>10</v>
      </c>
      <c r="D58" s="14" t="s">
        <v>14</v>
      </c>
      <c r="E58" s="14" t="s">
        <v>21</v>
      </c>
      <c r="F58" s="14" t="s">
        <v>23</v>
      </c>
      <c r="G58" s="14" t="s">
        <v>27</v>
      </c>
      <c r="H58" s="14" t="str">
        <f t="shared" si="0"/>
        <v>DESSERT</v>
      </c>
      <c r="I58" s="14">
        <f t="shared" si="1"/>
        <v>50</v>
      </c>
      <c r="J58" s="14">
        <v>4</v>
      </c>
      <c r="K58" s="15">
        <f t="shared" si="2"/>
        <v>200</v>
      </c>
    </row>
    <row r="59" spans="1:11" x14ac:dyDescent="0.3">
      <c r="A59" s="16">
        <v>158</v>
      </c>
      <c r="B59" s="17">
        <v>45064</v>
      </c>
      <c r="C59" s="18" t="s">
        <v>11</v>
      </c>
      <c r="D59" s="18" t="s">
        <v>15</v>
      </c>
      <c r="E59" s="18" t="s">
        <v>22</v>
      </c>
      <c r="F59" s="18" t="s">
        <v>25</v>
      </c>
      <c r="G59" s="18" t="s">
        <v>28</v>
      </c>
      <c r="H59" s="14" t="str">
        <f t="shared" si="0"/>
        <v>MAIN COURSE</v>
      </c>
      <c r="I59" s="14">
        <f t="shared" si="1"/>
        <v>100</v>
      </c>
      <c r="J59" s="18">
        <v>2</v>
      </c>
      <c r="K59" s="19">
        <f t="shared" si="2"/>
        <v>200</v>
      </c>
    </row>
    <row r="60" spans="1:11" x14ac:dyDescent="0.3">
      <c r="A60" s="12">
        <v>159</v>
      </c>
      <c r="B60" s="13">
        <v>45142</v>
      </c>
      <c r="C60" s="14" t="s">
        <v>7</v>
      </c>
      <c r="D60" s="14" t="s">
        <v>16</v>
      </c>
      <c r="E60" s="14" t="s">
        <v>18</v>
      </c>
      <c r="F60" s="14" t="s">
        <v>25</v>
      </c>
      <c r="G60" s="14" t="s">
        <v>29</v>
      </c>
      <c r="H60" s="14" t="str">
        <f t="shared" si="0"/>
        <v>MAIN COURSE</v>
      </c>
      <c r="I60" s="14">
        <f t="shared" si="1"/>
        <v>80</v>
      </c>
      <c r="J60" s="14">
        <v>4</v>
      </c>
      <c r="K60" s="15">
        <f t="shared" si="2"/>
        <v>320</v>
      </c>
    </row>
    <row r="61" spans="1:11" x14ac:dyDescent="0.3">
      <c r="A61" s="16">
        <v>160</v>
      </c>
      <c r="B61" s="17">
        <v>45150</v>
      </c>
      <c r="C61" s="18" t="s">
        <v>8</v>
      </c>
      <c r="D61" s="18" t="s">
        <v>17</v>
      </c>
      <c r="E61" s="18" t="s">
        <v>19</v>
      </c>
      <c r="F61" s="18" t="s">
        <v>25</v>
      </c>
      <c r="G61" s="18" t="s">
        <v>30</v>
      </c>
      <c r="H61" s="14" t="str">
        <f t="shared" si="0"/>
        <v>DESSERT</v>
      </c>
      <c r="I61" s="14">
        <f t="shared" si="1"/>
        <v>40</v>
      </c>
      <c r="J61" s="18">
        <v>4</v>
      </c>
      <c r="K61" s="19">
        <f t="shared" si="2"/>
        <v>160</v>
      </c>
    </row>
    <row r="62" spans="1:11" x14ac:dyDescent="0.3">
      <c r="A62" s="12">
        <v>161</v>
      </c>
      <c r="B62" s="13">
        <v>45031</v>
      </c>
      <c r="C62" s="14" t="s">
        <v>9</v>
      </c>
      <c r="D62" s="14" t="s">
        <v>12</v>
      </c>
      <c r="E62" s="13" t="s">
        <v>20</v>
      </c>
      <c r="F62" s="14" t="s">
        <v>23</v>
      </c>
      <c r="G62" s="14" t="s">
        <v>26</v>
      </c>
      <c r="H62" s="14" t="str">
        <f t="shared" si="0"/>
        <v>BEVERAGE</v>
      </c>
      <c r="I62" s="14">
        <f t="shared" si="1"/>
        <v>20</v>
      </c>
      <c r="J62" s="14">
        <v>5</v>
      </c>
      <c r="K62" s="15">
        <f t="shared" si="2"/>
        <v>100</v>
      </c>
    </row>
    <row r="63" spans="1:11" x14ac:dyDescent="0.3">
      <c r="A63" s="16">
        <v>162</v>
      </c>
      <c r="B63" s="17">
        <v>45154</v>
      </c>
      <c r="C63" s="18" t="s">
        <v>10</v>
      </c>
      <c r="D63" s="18" t="s">
        <v>13</v>
      </c>
      <c r="E63" s="18" t="s">
        <v>21</v>
      </c>
      <c r="F63" s="18" t="s">
        <v>24</v>
      </c>
      <c r="G63" s="18" t="s">
        <v>27</v>
      </c>
      <c r="H63" s="14" t="str">
        <f t="shared" si="0"/>
        <v>DESSERT</v>
      </c>
      <c r="I63" s="14">
        <f t="shared" si="1"/>
        <v>50</v>
      </c>
      <c r="J63" s="18">
        <v>2</v>
      </c>
      <c r="K63" s="19">
        <f t="shared" si="2"/>
        <v>100</v>
      </c>
    </row>
    <row r="64" spans="1:11" x14ac:dyDescent="0.3">
      <c r="A64" s="12">
        <v>163</v>
      </c>
      <c r="B64" s="13">
        <v>45060</v>
      </c>
      <c r="C64" s="14" t="s">
        <v>8</v>
      </c>
      <c r="D64" s="14" t="s">
        <v>14</v>
      </c>
      <c r="E64" s="14" t="s">
        <v>22</v>
      </c>
      <c r="F64" s="14" t="s">
        <v>23</v>
      </c>
      <c r="G64" s="14" t="s">
        <v>28</v>
      </c>
      <c r="H64" s="14" t="str">
        <f t="shared" si="0"/>
        <v>MAIN COURSE</v>
      </c>
      <c r="I64" s="14">
        <f t="shared" si="1"/>
        <v>100</v>
      </c>
      <c r="J64" s="14">
        <v>1</v>
      </c>
      <c r="K64" s="15">
        <f t="shared" si="2"/>
        <v>100</v>
      </c>
    </row>
    <row r="65" spans="1:11" x14ac:dyDescent="0.3">
      <c r="A65" s="16">
        <v>164</v>
      </c>
      <c r="B65" s="17">
        <v>45064</v>
      </c>
      <c r="C65" s="18" t="s">
        <v>9</v>
      </c>
      <c r="D65" s="18" t="s">
        <v>15</v>
      </c>
      <c r="E65" s="18" t="s">
        <v>18</v>
      </c>
      <c r="F65" s="18" t="s">
        <v>25</v>
      </c>
      <c r="G65" s="18" t="s">
        <v>29</v>
      </c>
      <c r="H65" s="14" t="str">
        <f t="shared" si="0"/>
        <v>MAIN COURSE</v>
      </c>
      <c r="I65" s="14">
        <f t="shared" si="1"/>
        <v>80</v>
      </c>
      <c r="J65" s="18">
        <v>3</v>
      </c>
      <c r="K65" s="19">
        <f t="shared" si="2"/>
        <v>240</v>
      </c>
    </row>
    <row r="66" spans="1:11" x14ac:dyDescent="0.3">
      <c r="A66" s="12">
        <v>165</v>
      </c>
      <c r="B66" s="13">
        <v>45154</v>
      </c>
      <c r="C66" s="14" t="s">
        <v>10</v>
      </c>
      <c r="D66" s="14" t="s">
        <v>16</v>
      </c>
      <c r="E66" s="14" t="s">
        <v>19</v>
      </c>
      <c r="F66" s="14" t="s">
        <v>25</v>
      </c>
      <c r="G66" s="14" t="s">
        <v>27</v>
      </c>
      <c r="H66" s="14" t="str">
        <f t="shared" si="0"/>
        <v>DESSERT</v>
      </c>
      <c r="I66" s="14">
        <f t="shared" si="1"/>
        <v>50</v>
      </c>
      <c r="J66" s="14">
        <v>2</v>
      </c>
      <c r="K66" s="15">
        <f t="shared" si="2"/>
        <v>100</v>
      </c>
    </row>
    <row r="67" spans="1:11" x14ac:dyDescent="0.3">
      <c r="A67" s="16">
        <v>166</v>
      </c>
      <c r="B67" s="17">
        <v>45060</v>
      </c>
      <c r="C67" s="18" t="s">
        <v>11</v>
      </c>
      <c r="D67" s="18" t="s">
        <v>13</v>
      </c>
      <c r="E67" s="17" t="s">
        <v>20</v>
      </c>
      <c r="F67" s="18" t="s">
        <v>24</v>
      </c>
      <c r="G67" s="18" t="s">
        <v>28</v>
      </c>
      <c r="H67" s="14" t="str">
        <f t="shared" ref="H67:H121" si="3">IF(G67="COKE","BEVERAGE",IF(G67="CAKE","DESSERT",IF(G67="PIZZA","MAIN COURSE",IF(G67="BURGER","MAIN COURSE",IF(G67="PASTRY","DESSERT","")))))</f>
        <v>MAIN COURSE</v>
      </c>
      <c r="I67" s="14">
        <f t="shared" ref="I67:I121" si="4">IF(G67="COKE",20,IF(G67="CAKE",50,IF(G67="PIZZA",100,IF(G67="BURGER",80,IF(G67="PASTRY",40)))))</f>
        <v>100</v>
      </c>
      <c r="J67" s="18">
        <v>3</v>
      </c>
      <c r="K67" s="19">
        <f t="shared" ref="K67:K121" si="5">I67*J67</f>
        <v>300</v>
      </c>
    </row>
    <row r="68" spans="1:11" x14ac:dyDescent="0.3">
      <c r="A68" s="12">
        <v>167</v>
      </c>
      <c r="B68" s="13">
        <v>45065</v>
      </c>
      <c r="C68" s="14" t="s">
        <v>7</v>
      </c>
      <c r="D68" s="14" t="s">
        <v>14</v>
      </c>
      <c r="E68" s="14" t="s">
        <v>21</v>
      </c>
      <c r="F68" s="14" t="s">
        <v>23</v>
      </c>
      <c r="G68" s="14" t="s">
        <v>29</v>
      </c>
      <c r="H68" s="14" t="str">
        <f t="shared" si="3"/>
        <v>MAIN COURSE</v>
      </c>
      <c r="I68" s="14">
        <f t="shared" si="4"/>
        <v>80</v>
      </c>
      <c r="J68" s="14">
        <v>2</v>
      </c>
      <c r="K68" s="15">
        <f t="shared" si="5"/>
        <v>160</v>
      </c>
    </row>
    <row r="69" spans="1:11" x14ac:dyDescent="0.3">
      <c r="A69" s="16">
        <v>168</v>
      </c>
      <c r="B69" s="17">
        <v>45079</v>
      </c>
      <c r="C69" s="18" t="s">
        <v>8</v>
      </c>
      <c r="D69" s="18" t="s">
        <v>15</v>
      </c>
      <c r="E69" s="18" t="s">
        <v>22</v>
      </c>
      <c r="F69" s="18" t="s">
        <v>25</v>
      </c>
      <c r="G69" s="18" t="s">
        <v>27</v>
      </c>
      <c r="H69" s="14" t="str">
        <f t="shared" si="3"/>
        <v>DESSERT</v>
      </c>
      <c r="I69" s="14">
        <f t="shared" si="4"/>
        <v>50</v>
      </c>
      <c r="J69" s="18">
        <v>1</v>
      </c>
      <c r="K69" s="19">
        <f t="shared" si="5"/>
        <v>50</v>
      </c>
    </row>
    <row r="70" spans="1:11" x14ac:dyDescent="0.3">
      <c r="A70" s="12">
        <v>169</v>
      </c>
      <c r="B70" s="13">
        <f ca="1">TODAY()</f>
        <v>46317</v>
      </c>
      <c r="C70" s="14" t="s">
        <v>9</v>
      </c>
      <c r="D70" s="14" t="s">
        <v>15</v>
      </c>
      <c r="E70" s="14" t="s">
        <v>18</v>
      </c>
      <c r="F70" s="14" t="s">
        <v>25</v>
      </c>
      <c r="G70" s="14" t="s">
        <v>28</v>
      </c>
      <c r="H70" s="14" t="str">
        <f t="shared" si="3"/>
        <v>MAIN COURSE</v>
      </c>
      <c r="I70" s="14">
        <f t="shared" si="4"/>
        <v>100</v>
      </c>
      <c r="J70" s="14">
        <v>2</v>
      </c>
      <c r="K70" s="15">
        <f t="shared" si="5"/>
        <v>200</v>
      </c>
    </row>
    <row r="71" spans="1:11" x14ac:dyDescent="0.3">
      <c r="A71" s="16">
        <v>170</v>
      </c>
      <c r="B71" s="17">
        <v>45158</v>
      </c>
      <c r="C71" s="18" t="s">
        <v>9</v>
      </c>
      <c r="D71" s="18" t="s">
        <v>12</v>
      </c>
      <c r="E71" s="18" t="s">
        <v>19</v>
      </c>
      <c r="F71" s="18" t="s">
        <v>23</v>
      </c>
      <c r="G71" s="18" t="s">
        <v>29</v>
      </c>
      <c r="H71" s="14" t="str">
        <f t="shared" si="3"/>
        <v>MAIN COURSE</v>
      </c>
      <c r="I71" s="14">
        <f t="shared" si="4"/>
        <v>80</v>
      </c>
      <c r="J71" s="18">
        <v>1</v>
      </c>
      <c r="K71" s="19">
        <f t="shared" si="5"/>
        <v>80</v>
      </c>
    </row>
    <row r="72" spans="1:11" x14ac:dyDescent="0.3">
      <c r="A72" s="12">
        <v>171</v>
      </c>
      <c r="B72" s="13">
        <v>45097</v>
      </c>
      <c r="C72" s="14" t="s">
        <v>10</v>
      </c>
      <c r="D72" s="14" t="s">
        <v>13</v>
      </c>
      <c r="E72" s="13" t="s">
        <v>20</v>
      </c>
      <c r="F72" s="14" t="s">
        <v>24</v>
      </c>
      <c r="G72" s="14" t="s">
        <v>30</v>
      </c>
      <c r="H72" s="14" t="str">
        <f t="shared" si="3"/>
        <v>DESSERT</v>
      </c>
      <c r="I72" s="14">
        <f t="shared" si="4"/>
        <v>40</v>
      </c>
      <c r="J72" s="14">
        <v>1</v>
      </c>
      <c r="K72" s="15">
        <f t="shared" si="5"/>
        <v>40</v>
      </c>
    </row>
    <row r="73" spans="1:11" x14ac:dyDescent="0.3">
      <c r="A73" s="16">
        <v>172</v>
      </c>
      <c r="B73" s="17">
        <v>45064</v>
      </c>
      <c r="C73" s="18" t="s">
        <v>8</v>
      </c>
      <c r="D73" s="18" t="s">
        <v>14</v>
      </c>
      <c r="E73" s="18" t="s">
        <v>21</v>
      </c>
      <c r="F73" s="18" t="s">
        <v>23</v>
      </c>
      <c r="G73" s="18" t="s">
        <v>26</v>
      </c>
      <c r="H73" s="14" t="str">
        <f t="shared" si="3"/>
        <v>BEVERAGE</v>
      </c>
      <c r="I73" s="14">
        <f t="shared" si="4"/>
        <v>20</v>
      </c>
      <c r="J73" s="18">
        <v>2</v>
      </c>
      <c r="K73" s="19">
        <f t="shared" si="5"/>
        <v>40</v>
      </c>
    </row>
    <row r="74" spans="1:11" x14ac:dyDescent="0.3">
      <c r="A74" s="12">
        <v>173</v>
      </c>
      <c r="B74" s="13">
        <v>45142</v>
      </c>
      <c r="C74" s="14" t="s">
        <v>9</v>
      </c>
      <c r="D74" s="14" t="s">
        <v>15</v>
      </c>
      <c r="E74" s="14" t="s">
        <v>19</v>
      </c>
      <c r="F74" s="14" t="s">
        <v>25</v>
      </c>
      <c r="G74" s="14" t="s">
        <v>27</v>
      </c>
      <c r="H74" s="14" t="str">
        <f t="shared" si="3"/>
        <v>DESSERT</v>
      </c>
      <c r="I74" s="14">
        <f t="shared" si="4"/>
        <v>50</v>
      </c>
      <c r="J74" s="14">
        <v>5</v>
      </c>
      <c r="K74" s="15">
        <f t="shared" si="5"/>
        <v>250</v>
      </c>
    </row>
    <row r="75" spans="1:11" x14ac:dyDescent="0.3">
      <c r="A75" s="16">
        <v>174</v>
      </c>
      <c r="B75" s="17">
        <v>45150</v>
      </c>
      <c r="C75" s="18" t="s">
        <v>10</v>
      </c>
      <c r="D75" s="18" t="s">
        <v>16</v>
      </c>
      <c r="E75" s="17" t="s">
        <v>20</v>
      </c>
      <c r="F75" s="18" t="s">
        <v>25</v>
      </c>
      <c r="G75" s="18" t="s">
        <v>28</v>
      </c>
      <c r="H75" s="14" t="str">
        <f t="shared" si="3"/>
        <v>MAIN COURSE</v>
      </c>
      <c r="I75" s="14">
        <f t="shared" si="4"/>
        <v>100</v>
      </c>
      <c r="J75" s="18">
        <v>2</v>
      </c>
      <c r="K75" s="19">
        <f t="shared" si="5"/>
        <v>200</v>
      </c>
    </row>
    <row r="76" spans="1:11" x14ac:dyDescent="0.3">
      <c r="A76" s="12">
        <v>175</v>
      </c>
      <c r="B76" s="13">
        <v>45031</v>
      </c>
      <c r="C76" s="14" t="s">
        <v>11</v>
      </c>
      <c r="D76" s="14" t="s">
        <v>17</v>
      </c>
      <c r="E76" s="14" t="s">
        <v>21</v>
      </c>
      <c r="F76" s="14" t="s">
        <v>25</v>
      </c>
      <c r="G76" s="14" t="s">
        <v>29</v>
      </c>
      <c r="H76" s="14" t="str">
        <f t="shared" si="3"/>
        <v>MAIN COURSE</v>
      </c>
      <c r="I76" s="14">
        <f t="shared" si="4"/>
        <v>80</v>
      </c>
      <c r="J76" s="14">
        <v>1</v>
      </c>
      <c r="K76" s="15">
        <f t="shared" si="5"/>
        <v>80</v>
      </c>
    </row>
    <row r="77" spans="1:11" x14ac:dyDescent="0.3">
      <c r="A77" s="16">
        <v>176</v>
      </c>
      <c r="B77" s="17">
        <v>45064</v>
      </c>
      <c r="C77" s="18" t="s">
        <v>9</v>
      </c>
      <c r="D77" s="18" t="s">
        <v>12</v>
      </c>
      <c r="E77" s="18" t="s">
        <v>22</v>
      </c>
      <c r="F77" s="18" t="s">
        <v>23</v>
      </c>
      <c r="G77" s="18" t="s">
        <v>27</v>
      </c>
      <c r="H77" s="14" t="str">
        <f t="shared" si="3"/>
        <v>DESSERT</v>
      </c>
      <c r="I77" s="14">
        <f t="shared" si="4"/>
        <v>50</v>
      </c>
      <c r="J77" s="18">
        <v>5</v>
      </c>
      <c r="K77" s="19">
        <f t="shared" si="5"/>
        <v>250</v>
      </c>
    </row>
    <row r="78" spans="1:11" x14ac:dyDescent="0.3">
      <c r="A78" s="12">
        <v>177</v>
      </c>
      <c r="B78" s="13">
        <v>45142</v>
      </c>
      <c r="C78" s="14" t="s">
        <v>10</v>
      </c>
      <c r="D78" s="14" t="s">
        <v>13</v>
      </c>
      <c r="E78" s="14" t="s">
        <v>18</v>
      </c>
      <c r="F78" s="14" t="s">
        <v>24</v>
      </c>
      <c r="G78" s="14" t="s">
        <v>28</v>
      </c>
      <c r="H78" s="14" t="str">
        <f t="shared" si="3"/>
        <v>MAIN COURSE</v>
      </c>
      <c r="I78" s="14">
        <f t="shared" si="4"/>
        <v>100</v>
      </c>
      <c r="J78" s="14">
        <v>1</v>
      </c>
      <c r="K78" s="15">
        <f t="shared" si="5"/>
        <v>100</v>
      </c>
    </row>
    <row r="79" spans="1:11" x14ac:dyDescent="0.3">
      <c r="A79" s="16">
        <v>178</v>
      </c>
      <c r="B79" s="17">
        <v>45150</v>
      </c>
      <c r="C79" s="18" t="s">
        <v>8</v>
      </c>
      <c r="D79" s="18" t="s">
        <v>14</v>
      </c>
      <c r="E79" s="18" t="s">
        <v>19</v>
      </c>
      <c r="F79" s="18" t="s">
        <v>23</v>
      </c>
      <c r="G79" s="18" t="s">
        <v>29</v>
      </c>
      <c r="H79" s="14" t="str">
        <f t="shared" si="3"/>
        <v>MAIN COURSE</v>
      </c>
      <c r="I79" s="14">
        <f t="shared" si="4"/>
        <v>80</v>
      </c>
      <c r="J79" s="18">
        <v>4</v>
      </c>
      <c r="K79" s="19">
        <f t="shared" si="5"/>
        <v>320</v>
      </c>
    </row>
    <row r="80" spans="1:11" x14ac:dyDescent="0.3">
      <c r="A80" s="12">
        <v>179</v>
      </c>
      <c r="B80" s="13">
        <v>45031</v>
      </c>
      <c r="C80" s="14" t="s">
        <v>9</v>
      </c>
      <c r="D80" s="14" t="s">
        <v>15</v>
      </c>
      <c r="E80" s="13" t="s">
        <v>20</v>
      </c>
      <c r="F80" s="14" t="s">
        <v>25</v>
      </c>
      <c r="G80" s="14" t="s">
        <v>30</v>
      </c>
      <c r="H80" s="14" t="str">
        <f t="shared" si="3"/>
        <v>DESSERT</v>
      </c>
      <c r="I80" s="14">
        <f t="shared" si="4"/>
        <v>40</v>
      </c>
      <c r="J80" s="14">
        <v>3</v>
      </c>
      <c r="K80" s="15">
        <f t="shared" si="5"/>
        <v>120</v>
      </c>
    </row>
    <row r="81" spans="1:11" x14ac:dyDescent="0.3">
      <c r="A81" s="16">
        <v>180</v>
      </c>
      <c r="B81" s="17">
        <v>45154</v>
      </c>
      <c r="C81" s="18" t="s">
        <v>10</v>
      </c>
      <c r="D81" s="18" t="s">
        <v>16</v>
      </c>
      <c r="E81" s="18" t="s">
        <v>21</v>
      </c>
      <c r="F81" s="18" t="s">
        <v>25</v>
      </c>
      <c r="G81" s="18" t="s">
        <v>26</v>
      </c>
      <c r="H81" s="14" t="str">
        <f t="shared" si="3"/>
        <v>BEVERAGE</v>
      </c>
      <c r="I81" s="14">
        <f t="shared" si="4"/>
        <v>20</v>
      </c>
      <c r="J81" s="18">
        <v>1</v>
      </c>
      <c r="K81" s="19">
        <f t="shared" si="5"/>
        <v>20</v>
      </c>
    </row>
    <row r="82" spans="1:11" x14ac:dyDescent="0.3">
      <c r="A82" s="12">
        <v>181</v>
      </c>
      <c r="B82" s="13">
        <v>45060</v>
      </c>
      <c r="C82" s="14" t="s">
        <v>11</v>
      </c>
      <c r="D82" s="14" t="s">
        <v>17</v>
      </c>
      <c r="E82" s="14" t="s">
        <v>22</v>
      </c>
      <c r="F82" s="14" t="s">
        <v>25</v>
      </c>
      <c r="G82" s="14" t="s">
        <v>26</v>
      </c>
      <c r="H82" s="14" t="str">
        <f t="shared" si="3"/>
        <v>BEVERAGE</v>
      </c>
      <c r="I82" s="14">
        <f t="shared" si="4"/>
        <v>20</v>
      </c>
      <c r="J82" s="14">
        <v>1</v>
      </c>
      <c r="K82" s="15">
        <f t="shared" si="5"/>
        <v>20</v>
      </c>
    </row>
    <row r="83" spans="1:11" x14ac:dyDescent="0.3">
      <c r="A83" s="16">
        <v>182</v>
      </c>
      <c r="B83" s="17">
        <f ca="1">TODAY()</f>
        <v>46317</v>
      </c>
      <c r="C83" s="18" t="s">
        <v>7</v>
      </c>
      <c r="D83" s="18" t="s">
        <v>12</v>
      </c>
      <c r="E83" s="18" t="s">
        <v>18</v>
      </c>
      <c r="F83" s="18" t="s">
        <v>23</v>
      </c>
      <c r="G83" s="18" t="s">
        <v>27</v>
      </c>
      <c r="H83" s="14" t="str">
        <f t="shared" si="3"/>
        <v>DESSERT</v>
      </c>
      <c r="I83" s="14">
        <f t="shared" si="4"/>
        <v>50</v>
      </c>
      <c r="J83" s="18">
        <v>2</v>
      </c>
      <c r="K83" s="19">
        <f t="shared" si="5"/>
        <v>100</v>
      </c>
    </row>
    <row r="84" spans="1:11" x14ac:dyDescent="0.3">
      <c r="A84" s="12">
        <v>183</v>
      </c>
      <c r="B84" s="13">
        <v>45158</v>
      </c>
      <c r="C84" s="14" t="s">
        <v>8</v>
      </c>
      <c r="D84" s="14" t="s">
        <v>13</v>
      </c>
      <c r="E84" s="14" t="s">
        <v>19</v>
      </c>
      <c r="F84" s="14" t="s">
        <v>24</v>
      </c>
      <c r="G84" s="14" t="s">
        <v>28</v>
      </c>
      <c r="H84" s="14" t="str">
        <f t="shared" si="3"/>
        <v>MAIN COURSE</v>
      </c>
      <c r="I84" s="14">
        <f t="shared" si="4"/>
        <v>100</v>
      </c>
      <c r="J84" s="14">
        <v>2</v>
      </c>
      <c r="K84" s="15">
        <f t="shared" si="5"/>
        <v>200</v>
      </c>
    </row>
    <row r="85" spans="1:11" x14ac:dyDescent="0.3">
      <c r="A85" s="16">
        <v>184</v>
      </c>
      <c r="B85" s="17">
        <v>45097</v>
      </c>
      <c r="C85" s="18" t="s">
        <v>9</v>
      </c>
      <c r="D85" s="18" t="s">
        <v>14</v>
      </c>
      <c r="E85" s="17" t="s">
        <v>20</v>
      </c>
      <c r="F85" s="18" t="s">
        <v>23</v>
      </c>
      <c r="G85" s="18" t="s">
        <v>29</v>
      </c>
      <c r="H85" s="14" t="str">
        <f t="shared" si="3"/>
        <v>MAIN COURSE</v>
      </c>
      <c r="I85" s="14">
        <f t="shared" si="4"/>
        <v>80</v>
      </c>
      <c r="J85" s="18">
        <v>2</v>
      </c>
      <c r="K85" s="19">
        <f t="shared" si="5"/>
        <v>160</v>
      </c>
    </row>
    <row r="86" spans="1:11" x14ac:dyDescent="0.3">
      <c r="A86" s="12">
        <v>185</v>
      </c>
      <c r="B86" s="13">
        <v>45064</v>
      </c>
      <c r="C86" s="14" t="s">
        <v>10</v>
      </c>
      <c r="D86" s="14" t="s">
        <v>13</v>
      </c>
      <c r="E86" s="14" t="s">
        <v>21</v>
      </c>
      <c r="F86" s="14" t="s">
        <v>24</v>
      </c>
      <c r="G86" s="14" t="s">
        <v>30</v>
      </c>
      <c r="H86" s="14" t="str">
        <f t="shared" si="3"/>
        <v>DESSERT</v>
      </c>
      <c r="I86" s="14">
        <f t="shared" si="4"/>
        <v>40</v>
      </c>
      <c r="J86" s="14">
        <v>5</v>
      </c>
      <c r="K86" s="15">
        <f t="shared" si="5"/>
        <v>200</v>
      </c>
    </row>
    <row r="87" spans="1:11" x14ac:dyDescent="0.3">
      <c r="A87" s="16">
        <v>186</v>
      </c>
      <c r="B87" s="17">
        <v>45142</v>
      </c>
      <c r="C87" s="18" t="s">
        <v>11</v>
      </c>
      <c r="D87" s="18" t="s">
        <v>14</v>
      </c>
      <c r="E87" s="18" t="s">
        <v>22</v>
      </c>
      <c r="F87" s="18" t="s">
        <v>23</v>
      </c>
      <c r="G87" s="18" t="s">
        <v>26</v>
      </c>
      <c r="H87" s="14" t="str">
        <f t="shared" si="3"/>
        <v>BEVERAGE</v>
      </c>
      <c r="I87" s="14">
        <f t="shared" si="4"/>
        <v>20</v>
      </c>
      <c r="J87" s="18">
        <v>3</v>
      </c>
      <c r="K87" s="19">
        <f t="shared" si="5"/>
        <v>60</v>
      </c>
    </row>
    <row r="88" spans="1:11" x14ac:dyDescent="0.3">
      <c r="A88" s="12">
        <v>187</v>
      </c>
      <c r="B88" s="13">
        <v>45150</v>
      </c>
      <c r="C88" s="14" t="s">
        <v>7</v>
      </c>
      <c r="D88" s="14" t="s">
        <v>15</v>
      </c>
      <c r="E88" s="14" t="s">
        <v>18</v>
      </c>
      <c r="F88" s="14" t="s">
        <v>25</v>
      </c>
      <c r="G88" s="14" t="s">
        <v>27</v>
      </c>
      <c r="H88" s="14" t="str">
        <f t="shared" si="3"/>
        <v>DESSERT</v>
      </c>
      <c r="I88" s="14">
        <f t="shared" si="4"/>
        <v>50</v>
      </c>
      <c r="J88" s="14">
        <v>5</v>
      </c>
      <c r="K88" s="15">
        <f t="shared" si="5"/>
        <v>250</v>
      </c>
    </row>
    <row r="89" spans="1:11" x14ac:dyDescent="0.3">
      <c r="A89" s="16">
        <v>188</v>
      </c>
      <c r="B89" s="17">
        <v>45031</v>
      </c>
      <c r="C89" s="18" t="s">
        <v>8</v>
      </c>
      <c r="D89" s="18" t="s">
        <v>12</v>
      </c>
      <c r="E89" s="18" t="s">
        <v>19</v>
      </c>
      <c r="F89" s="18" t="s">
        <v>23</v>
      </c>
      <c r="G89" s="18" t="s">
        <v>28</v>
      </c>
      <c r="H89" s="14" t="str">
        <f t="shared" si="3"/>
        <v>MAIN COURSE</v>
      </c>
      <c r="I89" s="14">
        <f t="shared" si="4"/>
        <v>100</v>
      </c>
      <c r="J89" s="18">
        <v>3</v>
      </c>
      <c r="K89" s="19">
        <f t="shared" si="5"/>
        <v>300</v>
      </c>
    </row>
    <row r="90" spans="1:11" x14ac:dyDescent="0.3">
      <c r="A90" s="12">
        <v>189</v>
      </c>
      <c r="B90" s="13">
        <v>45064</v>
      </c>
      <c r="C90" s="14" t="s">
        <v>9</v>
      </c>
      <c r="D90" s="14" t="s">
        <v>13</v>
      </c>
      <c r="E90" s="13" t="s">
        <v>20</v>
      </c>
      <c r="F90" s="14" t="s">
        <v>24</v>
      </c>
      <c r="G90" s="14" t="s">
        <v>29</v>
      </c>
      <c r="H90" s="14" t="str">
        <f t="shared" si="3"/>
        <v>MAIN COURSE</v>
      </c>
      <c r="I90" s="14">
        <f t="shared" si="4"/>
        <v>80</v>
      </c>
      <c r="J90" s="14">
        <v>1</v>
      </c>
      <c r="K90" s="15">
        <f t="shared" si="5"/>
        <v>80</v>
      </c>
    </row>
    <row r="91" spans="1:11" x14ac:dyDescent="0.3">
      <c r="A91" s="16">
        <v>190</v>
      </c>
      <c r="B91" s="17">
        <v>45142</v>
      </c>
      <c r="C91" s="18" t="s">
        <v>10</v>
      </c>
      <c r="D91" s="18" t="s">
        <v>14</v>
      </c>
      <c r="E91" s="18" t="s">
        <v>21</v>
      </c>
      <c r="F91" s="18" t="s">
        <v>23</v>
      </c>
      <c r="G91" s="18" t="s">
        <v>27</v>
      </c>
      <c r="H91" s="14" t="str">
        <f t="shared" si="3"/>
        <v>DESSERT</v>
      </c>
      <c r="I91" s="14">
        <f t="shared" si="4"/>
        <v>50</v>
      </c>
      <c r="J91" s="18">
        <v>3</v>
      </c>
      <c r="K91" s="19">
        <f t="shared" si="5"/>
        <v>150</v>
      </c>
    </row>
    <row r="92" spans="1:11" x14ac:dyDescent="0.3">
      <c r="A92" s="12">
        <v>191</v>
      </c>
      <c r="B92" s="13">
        <v>45150</v>
      </c>
      <c r="C92" s="14" t="s">
        <v>9</v>
      </c>
      <c r="D92" s="14" t="s">
        <v>15</v>
      </c>
      <c r="E92" s="14" t="s">
        <v>22</v>
      </c>
      <c r="F92" s="14" t="s">
        <v>25</v>
      </c>
      <c r="G92" s="14" t="s">
        <v>26</v>
      </c>
      <c r="H92" s="14" t="str">
        <f t="shared" si="3"/>
        <v>BEVERAGE</v>
      </c>
      <c r="I92" s="14">
        <f t="shared" si="4"/>
        <v>20</v>
      </c>
      <c r="J92" s="14">
        <v>3</v>
      </c>
      <c r="K92" s="15">
        <f t="shared" si="5"/>
        <v>60</v>
      </c>
    </row>
    <row r="93" spans="1:11" x14ac:dyDescent="0.3">
      <c r="A93" s="16">
        <v>192</v>
      </c>
      <c r="B93" s="17">
        <v>45031</v>
      </c>
      <c r="C93" s="18" t="s">
        <v>10</v>
      </c>
      <c r="D93" s="18" t="s">
        <v>15</v>
      </c>
      <c r="E93" s="18" t="s">
        <v>21</v>
      </c>
      <c r="F93" s="18" t="s">
        <v>25</v>
      </c>
      <c r="G93" s="18" t="s">
        <v>27</v>
      </c>
      <c r="H93" s="14" t="str">
        <f t="shared" si="3"/>
        <v>DESSERT</v>
      </c>
      <c r="I93" s="14">
        <f t="shared" si="4"/>
        <v>50</v>
      </c>
      <c r="J93" s="18">
        <v>1</v>
      </c>
      <c r="K93" s="19">
        <f t="shared" si="5"/>
        <v>50</v>
      </c>
    </row>
    <row r="94" spans="1:11" x14ac:dyDescent="0.3">
      <c r="A94" s="12">
        <v>193</v>
      </c>
      <c r="B94" s="13">
        <v>45154</v>
      </c>
      <c r="C94" s="14" t="s">
        <v>11</v>
      </c>
      <c r="D94" s="14" t="s">
        <v>12</v>
      </c>
      <c r="E94" s="14" t="s">
        <v>22</v>
      </c>
      <c r="F94" s="14" t="s">
        <v>23</v>
      </c>
      <c r="G94" s="14" t="s">
        <v>28</v>
      </c>
      <c r="H94" s="14" t="str">
        <f t="shared" si="3"/>
        <v>MAIN COURSE</v>
      </c>
      <c r="I94" s="14">
        <f t="shared" si="4"/>
        <v>100</v>
      </c>
      <c r="J94" s="14">
        <v>5</v>
      </c>
      <c r="K94" s="15">
        <f t="shared" si="5"/>
        <v>500</v>
      </c>
    </row>
    <row r="95" spans="1:11" x14ac:dyDescent="0.3">
      <c r="A95" s="16">
        <v>194</v>
      </c>
      <c r="B95" s="17">
        <v>45060</v>
      </c>
      <c r="C95" s="18" t="s">
        <v>7</v>
      </c>
      <c r="D95" s="18" t="s">
        <v>13</v>
      </c>
      <c r="E95" s="18" t="s">
        <v>18</v>
      </c>
      <c r="F95" s="18" t="s">
        <v>24</v>
      </c>
      <c r="G95" s="18" t="s">
        <v>29</v>
      </c>
      <c r="H95" s="14" t="str">
        <f t="shared" si="3"/>
        <v>MAIN COURSE</v>
      </c>
      <c r="I95" s="14">
        <f t="shared" si="4"/>
        <v>80</v>
      </c>
      <c r="J95" s="18">
        <v>1</v>
      </c>
      <c r="K95" s="19">
        <f t="shared" si="5"/>
        <v>80</v>
      </c>
    </row>
    <row r="96" spans="1:11" x14ac:dyDescent="0.3">
      <c r="A96" s="12">
        <v>195</v>
      </c>
      <c r="B96" s="13">
        <v>45065</v>
      </c>
      <c r="C96" s="14" t="s">
        <v>8</v>
      </c>
      <c r="D96" s="14" t="s">
        <v>14</v>
      </c>
      <c r="E96" s="14" t="s">
        <v>19</v>
      </c>
      <c r="F96" s="14" t="s">
        <v>23</v>
      </c>
      <c r="G96" s="14" t="s">
        <v>27</v>
      </c>
      <c r="H96" s="14" t="str">
        <f t="shared" si="3"/>
        <v>DESSERT</v>
      </c>
      <c r="I96" s="14">
        <f t="shared" si="4"/>
        <v>50</v>
      </c>
      <c r="J96" s="14">
        <v>4</v>
      </c>
      <c r="K96" s="15">
        <f t="shared" si="5"/>
        <v>200</v>
      </c>
    </row>
    <row r="97" spans="1:11" x14ac:dyDescent="0.3">
      <c r="A97" s="16">
        <v>196</v>
      </c>
      <c r="B97" s="17">
        <v>45079</v>
      </c>
      <c r="C97" s="18" t="s">
        <v>10</v>
      </c>
      <c r="D97" s="18" t="s">
        <v>15</v>
      </c>
      <c r="E97" s="17" t="s">
        <v>20</v>
      </c>
      <c r="F97" s="18" t="s">
        <v>25</v>
      </c>
      <c r="G97" s="18" t="s">
        <v>28</v>
      </c>
      <c r="H97" s="14" t="str">
        <f t="shared" si="3"/>
        <v>MAIN COURSE</v>
      </c>
      <c r="I97" s="14">
        <f t="shared" si="4"/>
        <v>100</v>
      </c>
      <c r="J97" s="18">
        <v>2</v>
      </c>
      <c r="K97" s="19">
        <f t="shared" si="5"/>
        <v>200</v>
      </c>
    </row>
    <row r="98" spans="1:11" x14ac:dyDescent="0.3">
      <c r="A98" s="12">
        <v>197</v>
      </c>
      <c r="B98" s="13">
        <f ca="1">TODAY()</f>
        <v>46317</v>
      </c>
      <c r="C98" s="14" t="s">
        <v>11</v>
      </c>
      <c r="D98" s="14" t="s">
        <v>16</v>
      </c>
      <c r="E98" s="14" t="s">
        <v>21</v>
      </c>
      <c r="F98" s="14" t="s">
        <v>25</v>
      </c>
      <c r="G98" s="14" t="s">
        <v>29</v>
      </c>
      <c r="H98" s="14" t="str">
        <f t="shared" si="3"/>
        <v>MAIN COURSE</v>
      </c>
      <c r="I98" s="14">
        <f t="shared" si="4"/>
        <v>80</v>
      </c>
      <c r="J98" s="14">
        <v>5</v>
      </c>
      <c r="K98" s="15">
        <f t="shared" si="5"/>
        <v>400</v>
      </c>
    </row>
    <row r="99" spans="1:11" x14ac:dyDescent="0.3">
      <c r="A99" s="16">
        <v>198</v>
      </c>
      <c r="B99" s="17">
        <v>45158</v>
      </c>
      <c r="C99" s="18" t="s">
        <v>7</v>
      </c>
      <c r="D99" s="18" t="s">
        <v>12</v>
      </c>
      <c r="E99" s="18" t="s">
        <v>22</v>
      </c>
      <c r="F99" s="18" t="s">
        <v>23</v>
      </c>
      <c r="G99" s="18" t="s">
        <v>30</v>
      </c>
      <c r="H99" s="14" t="str">
        <f t="shared" si="3"/>
        <v>DESSERT</v>
      </c>
      <c r="I99" s="14">
        <f t="shared" si="4"/>
        <v>40</v>
      </c>
      <c r="J99" s="18">
        <v>4</v>
      </c>
      <c r="K99" s="19">
        <f t="shared" si="5"/>
        <v>160</v>
      </c>
    </row>
    <row r="100" spans="1:11" x14ac:dyDescent="0.3">
      <c r="A100" s="12">
        <v>199</v>
      </c>
      <c r="B100" s="13">
        <v>45142</v>
      </c>
      <c r="C100" s="14" t="s">
        <v>8</v>
      </c>
      <c r="D100" s="14" t="s">
        <v>13</v>
      </c>
      <c r="E100" s="14" t="s">
        <v>18</v>
      </c>
      <c r="F100" s="14" t="s">
        <v>24</v>
      </c>
      <c r="G100" s="14" t="s">
        <v>26</v>
      </c>
      <c r="H100" s="14" t="str">
        <f t="shared" si="3"/>
        <v>BEVERAGE</v>
      </c>
      <c r="I100" s="14">
        <f t="shared" si="4"/>
        <v>20</v>
      </c>
      <c r="J100" s="14">
        <v>3</v>
      </c>
      <c r="K100" s="15">
        <f t="shared" si="5"/>
        <v>60</v>
      </c>
    </row>
    <row r="101" spans="1:11" x14ac:dyDescent="0.3">
      <c r="A101" s="16">
        <v>200</v>
      </c>
      <c r="B101" s="17">
        <v>45150</v>
      </c>
      <c r="C101" s="18" t="s">
        <v>9</v>
      </c>
      <c r="D101" s="18" t="s">
        <v>14</v>
      </c>
      <c r="E101" s="18" t="s">
        <v>19</v>
      </c>
      <c r="F101" s="18" t="s">
        <v>23</v>
      </c>
      <c r="G101" s="18" t="s">
        <v>26</v>
      </c>
      <c r="H101" s="14" t="str">
        <f t="shared" si="3"/>
        <v>BEVERAGE</v>
      </c>
      <c r="I101" s="14">
        <f t="shared" si="4"/>
        <v>20</v>
      </c>
      <c r="J101" s="18">
        <v>5</v>
      </c>
      <c r="K101" s="19">
        <f t="shared" si="5"/>
        <v>100</v>
      </c>
    </row>
    <row r="102" spans="1:11" x14ac:dyDescent="0.3">
      <c r="A102" s="12">
        <v>201</v>
      </c>
      <c r="B102" s="13">
        <v>45031</v>
      </c>
      <c r="C102" s="14" t="s">
        <v>9</v>
      </c>
      <c r="D102" s="14" t="s">
        <v>15</v>
      </c>
      <c r="E102" s="13" t="s">
        <v>20</v>
      </c>
      <c r="F102" s="14" t="s">
        <v>25</v>
      </c>
      <c r="G102" s="14" t="s">
        <v>27</v>
      </c>
      <c r="H102" s="14" t="str">
        <f t="shared" si="3"/>
        <v>DESSERT</v>
      </c>
      <c r="I102" s="14">
        <f t="shared" si="4"/>
        <v>50</v>
      </c>
      <c r="J102" s="14">
        <v>1</v>
      </c>
      <c r="K102" s="15">
        <f t="shared" si="5"/>
        <v>50</v>
      </c>
    </row>
    <row r="103" spans="1:11" x14ac:dyDescent="0.3">
      <c r="A103" s="16">
        <v>202</v>
      </c>
      <c r="B103" s="17">
        <v>45154</v>
      </c>
      <c r="C103" s="18" t="s">
        <v>9</v>
      </c>
      <c r="D103" s="18" t="s">
        <v>16</v>
      </c>
      <c r="E103" s="18" t="s">
        <v>18</v>
      </c>
      <c r="F103" s="18" t="s">
        <v>25</v>
      </c>
      <c r="G103" s="18" t="s">
        <v>28</v>
      </c>
      <c r="H103" s="14" t="str">
        <f t="shared" si="3"/>
        <v>MAIN COURSE</v>
      </c>
      <c r="I103" s="14">
        <f t="shared" si="4"/>
        <v>100</v>
      </c>
      <c r="J103" s="18">
        <v>3</v>
      </c>
      <c r="K103" s="19">
        <f t="shared" si="5"/>
        <v>300</v>
      </c>
    </row>
    <row r="104" spans="1:11" x14ac:dyDescent="0.3">
      <c r="A104" s="12">
        <v>203</v>
      </c>
      <c r="B104" s="13">
        <v>45060</v>
      </c>
      <c r="C104" s="14" t="s">
        <v>10</v>
      </c>
      <c r="D104" s="14" t="s">
        <v>17</v>
      </c>
      <c r="E104" s="14" t="s">
        <v>19</v>
      </c>
      <c r="F104" s="14" t="s">
        <v>25</v>
      </c>
      <c r="G104" s="14" t="s">
        <v>29</v>
      </c>
      <c r="H104" s="14" t="str">
        <f t="shared" si="3"/>
        <v>MAIN COURSE</v>
      </c>
      <c r="I104" s="14">
        <f t="shared" si="4"/>
        <v>80</v>
      </c>
      <c r="J104" s="14">
        <v>5</v>
      </c>
      <c r="K104" s="15">
        <f t="shared" si="5"/>
        <v>400</v>
      </c>
    </row>
    <row r="105" spans="1:11" x14ac:dyDescent="0.3">
      <c r="A105" s="16">
        <v>204</v>
      </c>
      <c r="B105" s="17">
        <v>45065</v>
      </c>
      <c r="C105" s="18" t="s">
        <v>8</v>
      </c>
      <c r="D105" s="18" t="s">
        <v>12</v>
      </c>
      <c r="E105" s="17" t="s">
        <v>20</v>
      </c>
      <c r="F105" s="18" t="s">
        <v>23</v>
      </c>
      <c r="G105" s="18" t="s">
        <v>30</v>
      </c>
      <c r="H105" s="14" t="str">
        <f t="shared" si="3"/>
        <v>DESSERT</v>
      </c>
      <c r="I105" s="14">
        <f t="shared" si="4"/>
        <v>40</v>
      </c>
      <c r="J105" s="18">
        <v>1</v>
      </c>
      <c r="K105" s="19">
        <f t="shared" si="5"/>
        <v>40</v>
      </c>
    </row>
    <row r="106" spans="1:11" x14ac:dyDescent="0.3">
      <c r="A106" s="12">
        <v>205</v>
      </c>
      <c r="B106" s="13">
        <v>45079</v>
      </c>
      <c r="C106" s="14" t="s">
        <v>9</v>
      </c>
      <c r="D106" s="14" t="s">
        <v>13</v>
      </c>
      <c r="E106" s="14" t="s">
        <v>21</v>
      </c>
      <c r="F106" s="14" t="s">
        <v>24</v>
      </c>
      <c r="G106" s="14" t="s">
        <v>26</v>
      </c>
      <c r="H106" s="14" t="str">
        <f t="shared" si="3"/>
        <v>BEVERAGE</v>
      </c>
      <c r="I106" s="14">
        <f t="shared" si="4"/>
        <v>20</v>
      </c>
      <c r="J106" s="14">
        <v>1</v>
      </c>
      <c r="K106" s="15">
        <f t="shared" si="5"/>
        <v>20</v>
      </c>
    </row>
    <row r="107" spans="1:11" x14ac:dyDescent="0.3">
      <c r="A107" s="16">
        <v>206</v>
      </c>
      <c r="B107" s="17">
        <f ca="1">TODAY()</f>
        <v>46317</v>
      </c>
      <c r="C107" s="18" t="s">
        <v>10</v>
      </c>
      <c r="D107" s="18" t="s">
        <v>14</v>
      </c>
      <c r="E107" s="18" t="s">
        <v>19</v>
      </c>
      <c r="F107" s="18" t="s">
        <v>23</v>
      </c>
      <c r="G107" s="18" t="s">
        <v>27</v>
      </c>
      <c r="H107" s="14" t="str">
        <f t="shared" si="3"/>
        <v>DESSERT</v>
      </c>
      <c r="I107" s="14">
        <f t="shared" si="4"/>
        <v>50</v>
      </c>
      <c r="J107" s="18">
        <v>5</v>
      </c>
      <c r="K107" s="19">
        <f t="shared" si="5"/>
        <v>250</v>
      </c>
    </row>
    <row r="108" spans="1:11" x14ac:dyDescent="0.3">
      <c r="A108" s="12">
        <v>207</v>
      </c>
      <c r="B108" s="13">
        <v>45158</v>
      </c>
      <c r="C108" s="14" t="s">
        <v>11</v>
      </c>
      <c r="D108" s="14" t="s">
        <v>13</v>
      </c>
      <c r="E108" s="13" t="s">
        <v>20</v>
      </c>
      <c r="F108" s="14" t="s">
        <v>24</v>
      </c>
      <c r="G108" s="14" t="s">
        <v>28</v>
      </c>
      <c r="H108" s="14" t="str">
        <f t="shared" si="3"/>
        <v>MAIN COURSE</v>
      </c>
      <c r="I108" s="14">
        <f t="shared" si="4"/>
        <v>100</v>
      </c>
      <c r="J108" s="14">
        <v>2</v>
      </c>
      <c r="K108" s="15">
        <f t="shared" si="5"/>
        <v>200</v>
      </c>
    </row>
    <row r="109" spans="1:11" x14ac:dyDescent="0.3">
      <c r="A109" s="16">
        <v>208</v>
      </c>
      <c r="B109" s="17">
        <v>45097</v>
      </c>
      <c r="C109" s="18" t="s">
        <v>9</v>
      </c>
      <c r="D109" s="18" t="s">
        <v>14</v>
      </c>
      <c r="E109" s="18" t="s">
        <v>21</v>
      </c>
      <c r="F109" s="18" t="s">
        <v>23</v>
      </c>
      <c r="G109" s="18" t="s">
        <v>29</v>
      </c>
      <c r="H109" s="14" t="str">
        <f t="shared" si="3"/>
        <v>MAIN COURSE</v>
      </c>
      <c r="I109" s="14">
        <f t="shared" si="4"/>
        <v>80</v>
      </c>
      <c r="J109" s="18">
        <v>2</v>
      </c>
      <c r="K109" s="19">
        <f t="shared" si="5"/>
        <v>160</v>
      </c>
    </row>
    <row r="110" spans="1:11" x14ac:dyDescent="0.3">
      <c r="A110" s="12">
        <v>209</v>
      </c>
      <c r="B110" s="13">
        <v>45064</v>
      </c>
      <c r="C110" s="14" t="s">
        <v>10</v>
      </c>
      <c r="D110" s="14" t="s">
        <v>15</v>
      </c>
      <c r="E110" s="14" t="s">
        <v>22</v>
      </c>
      <c r="F110" s="14" t="s">
        <v>25</v>
      </c>
      <c r="G110" s="14" t="s">
        <v>27</v>
      </c>
      <c r="H110" s="14" t="str">
        <f t="shared" si="3"/>
        <v>DESSERT</v>
      </c>
      <c r="I110" s="14">
        <f t="shared" si="4"/>
        <v>50</v>
      </c>
      <c r="J110" s="14">
        <v>1</v>
      </c>
      <c r="K110" s="15">
        <f t="shared" si="5"/>
        <v>50</v>
      </c>
    </row>
    <row r="111" spans="1:11" x14ac:dyDescent="0.3">
      <c r="A111" s="16">
        <v>210</v>
      </c>
      <c r="B111" s="17">
        <v>45079</v>
      </c>
      <c r="C111" s="18" t="s">
        <v>8</v>
      </c>
      <c r="D111" s="18" t="s">
        <v>12</v>
      </c>
      <c r="E111" s="18" t="s">
        <v>18</v>
      </c>
      <c r="F111" s="18" t="s">
        <v>23</v>
      </c>
      <c r="G111" s="18" t="s">
        <v>26</v>
      </c>
      <c r="H111" s="14" t="str">
        <f t="shared" si="3"/>
        <v>BEVERAGE</v>
      </c>
      <c r="I111" s="14">
        <f t="shared" si="4"/>
        <v>20</v>
      </c>
      <c r="J111" s="18">
        <v>5</v>
      </c>
      <c r="K111" s="19">
        <f t="shared" si="5"/>
        <v>100</v>
      </c>
    </row>
    <row r="112" spans="1:11" x14ac:dyDescent="0.3">
      <c r="A112" s="12">
        <v>211</v>
      </c>
      <c r="B112" s="13">
        <f ca="1">TODAY()</f>
        <v>46317</v>
      </c>
      <c r="C112" s="14" t="s">
        <v>9</v>
      </c>
      <c r="D112" s="14" t="s">
        <v>13</v>
      </c>
      <c r="E112" s="14" t="s">
        <v>19</v>
      </c>
      <c r="F112" s="14" t="s">
        <v>24</v>
      </c>
      <c r="G112" s="14" t="s">
        <v>27</v>
      </c>
      <c r="H112" s="14" t="str">
        <f t="shared" si="3"/>
        <v>DESSERT</v>
      </c>
      <c r="I112" s="14">
        <f t="shared" si="4"/>
        <v>50</v>
      </c>
      <c r="J112" s="14">
        <v>4</v>
      </c>
      <c r="K112" s="15">
        <f t="shared" si="5"/>
        <v>200</v>
      </c>
    </row>
    <row r="113" spans="1:11" x14ac:dyDescent="0.3">
      <c r="A113" s="16">
        <v>212</v>
      </c>
      <c r="B113" s="17">
        <v>45158</v>
      </c>
      <c r="C113" s="18" t="s">
        <v>10</v>
      </c>
      <c r="D113" s="18" t="s">
        <v>14</v>
      </c>
      <c r="E113" s="17" t="s">
        <v>20</v>
      </c>
      <c r="F113" s="18" t="s">
        <v>23</v>
      </c>
      <c r="G113" s="18" t="s">
        <v>28</v>
      </c>
      <c r="H113" s="14" t="str">
        <f t="shared" si="3"/>
        <v>MAIN COURSE</v>
      </c>
      <c r="I113" s="14">
        <f t="shared" si="4"/>
        <v>100</v>
      </c>
      <c r="J113" s="18">
        <v>2</v>
      </c>
      <c r="K113" s="19">
        <f t="shared" si="5"/>
        <v>200</v>
      </c>
    </row>
    <row r="114" spans="1:11" x14ac:dyDescent="0.3">
      <c r="A114" s="12">
        <v>213</v>
      </c>
      <c r="B114" s="13">
        <v>45097</v>
      </c>
      <c r="C114" s="14" t="s">
        <v>11</v>
      </c>
      <c r="D114" s="14" t="s">
        <v>15</v>
      </c>
      <c r="E114" s="14" t="s">
        <v>21</v>
      </c>
      <c r="F114" s="14" t="s">
        <v>25</v>
      </c>
      <c r="G114" s="14" t="s">
        <v>29</v>
      </c>
      <c r="H114" s="14" t="str">
        <f t="shared" si="3"/>
        <v>MAIN COURSE</v>
      </c>
      <c r="I114" s="14">
        <f t="shared" si="4"/>
        <v>80</v>
      </c>
      <c r="J114" s="14">
        <v>2</v>
      </c>
      <c r="K114" s="15">
        <f t="shared" si="5"/>
        <v>160</v>
      </c>
    </row>
    <row r="115" spans="1:11" x14ac:dyDescent="0.3">
      <c r="A115" s="16">
        <v>214</v>
      </c>
      <c r="B115" s="17">
        <v>45064</v>
      </c>
      <c r="C115" s="18" t="s">
        <v>7</v>
      </c>
      <c r="D115" s="18" t="s">
        <v>15</v>
      </c>
      <c r="E115" s="18" t="s">
        <v>22</v>
      </c>
      <c r="F115" s="18" t="s">
        <v>25</v>
      </c>
      <c r="G115" s="18" t="s">
        <v>27</v>
      </c>
      <c r="H115" s="14" t="str">
        <f t="shared" si="3"/>
        <v>DESSERT</v>
      </c>
      <c r="I115" s="14">
        <f t="shared" si="4"/>
        <v>50</v>
      </c>
      <c r="J115" s="18">
        <v>2</v>
      </c>
      <c r="K115" s="19">
        <f t="shared" si="5"/>
        <v>100</v>
      </c>
    </row>
    <row r="116" spans="1:11" x14ac:dyDescent="0.3">
      <c r="A116" s="12">
        <v>215</v>
      </c>
      <c r="B116" s="13">
        <v>45142</v>
      </c>
      <c r="C116" s="14" t="s">
        <v>8</v>
      </c>
      <c r="D116" s="14" t="s">
        <v>12</v>
      </c>
      <c r="E116" s="14" t="s">
        <v>18</v>
      </c>
      <c r="F116" s="14" t="s">
        <v>23</v>
      </c>
      <c r="G116" s="14" t="s">
        <v>28</v>
      </c>
      <c r="H116" s="14" t="str">
        <f t="shared" si="3"/>
        <v>MAIN COURSE</v>
      </c>
      <c r="I116" s="14">
        <f t="shared" si="4"/>
        <v>100</v>
      </c>
      <c r="J116" s="14">
        <v>2</v>
      </c>
      <c r="K116" s="15">
        <f t="shared" si="5"/>
        <v>200</v>
      </c>
    </row>
    <row r="117" spans="1:11" x14ac:dyDescent="0.3">
      <c r="A117" s="16">
        <v>216</v>
      </c>
      <c r="B117" s="17">
        <v>45150</v>
      </c>
      <c r="C117" s="18" t="s">
        <v>9</v>
      </c>
      <c r="D117" s="18" t="s">
        <v>13</v>
      </c>
      <c r="E117" s="18" t="s">
        <v>19</v>
      </c>
      <c r="F117" s="18" t="s">
        <v>24</v>
      </c>
      <c r="G117" s="18" t="s">
        <v>29</v>
      </c>
      <c r="H117" s="14" t="str">
        <f t="shared" si="3"/>
        <v>MAIN COURSE</v>
      </c>
      <c r="I117" s="14">
        <f t="shared" si="4"/>
        <v>80</v>
      </c>
      <c r="J117" s="18">
        <v>1</v>
      </c>
      <c r="K117" s="19">
        <f t="shared" si="5"/>
        <v>80</v>
      </c>
    </row>
    <row r="118" spans="1:11" x14ac:dyDescent="0.3">
      <c r="A118" s="12">
        <v>217</v>
      </c>
      <c r="B118" s="13">
        <v>45031</v>
      </c>
      <c r="C118" s="14" t="s">
        <v>10</v>
      </c>
      <c r="D118" s="14" t="s">
        <v>14</v>
      </c>
      <c r="E118" s="13" t="s">
        <v>20</v>
      </c>
      <c r="F118" s="14" t="s">
        <v>23</v>
      </c>
      <c r="G118" s="14" t="s">
        <v>30</v>
      </c>
      <c r="H118" s="14" t="str">
        <f t="shared" si="3"/>
        <v>DESSERT</v>
      </c>
      <c r="I118" s="14">
        <f t="shared" si="4"/>
        <v>40</v>
      </c>
      <c r="J118" s="14">
        <v>1</v>
      </c>
      <c r="K118" s="15">
        <f t="shared" si="5"/>
        <v>40</v>
      </c>
    </row>
    <row r="119" spans="1:11" x14ac:dyDescent="0.3">
      <c r="A119" s="16">
        <v>218</v>
      </c>
      <c r="B119" s="17">
        <v>45064</v>
      </c>
      <c r="C119" s="18" t="s">
        <v>11</v>
      </c>
      <c r="D119" s="18" t="s">
        <v>15</v>
      </c>
      <c r="E119" s="18" t="s">
        <v>21</v>
      </c>
      <c r="F119" s="18" t="s">
        <v>25</v>
      </c>
      <c r="G119" s="18" t="s">
        <v>26</v>
      </c>
      <c r="H119" s="14" t="str">
        <f t="shared" si="3"/>
        <v>BEVERAGE</v>
      </c>
      <c r="I119" s="14">
        <f t="shared" si="4"/>
        <v>20</v>
      </c>
      <c r="J119" s="18">
        <v>2</v>
      </c>
      <c r="K119" s="19">
        <f t="shared" si="5"/>
        <v>40</v>
      </c>
    </row>
    <row r="120" spans="1:11" x14ac:dyDescent="0.3">
      <c r="A120" s="12">
        <v>219</v>
      </c>
      <c r="B120" s="13">
        <v>45142</v>
      </c>
      <c r="C120" s="14" t="s">
        <v>7</v>
      </c>
      <c r="D120" s="14" t="s">
        <v>16</v>
      </c>
      <c r="E120" s="14" t="s">
        <v>22</v>
      </c>
      <c r="F120" s="14" t="s">
        <v>25</v>
      </c>
      <c r="G120" s="14" t="s">
        <v>26</v>
      </c>
      <c r="H120" s="14" t="str">
        <f t="shared" si="3"/>
        <v>BEVERAGE</v>
      </c>
      <c r="I120" s="14">
        <f t="shared" si="4"/>
        <v>20</v>
      </c>
      <c r="J120" s="14">
        <v>3</v>
      </c>
      <c r="K120" s="15">
        <f t="shared" si="5"/>
        <v>60</v>
      </c>
    </row>
    <row r="121" spans="1:11" x14ac:dyDescent="0.3">
      <c r="A121" s="6">
        <v>220</v>
      </c>
      <c r="B121" s="7">
        <v>45150</v>
      </c>
      <c r="C121" s="5" t="s">
        <v>8</v>
      </c>
      <c r="D121" s="5" t="s">
        <v>14</v>
      </c>
      <c r="E121" s="5" t="s">
        <v>18</v>
      </c>
      <c r="F121" s="5" t="s">
        <v>23</v>
      </c>
      <c r="G121" s="5" t="s">
        <v>27</v>
      </c>
      <c r="H121" s="14" t="str">
        <f t="shared" si="3"/>
        <v>DESSERT</v>
      </c>
      <c r="I121" s="14">
        <f t="shared" si="4"/>
        <v>50</v>
      </c>
      <c r="J121" s="5">
        <v>2</v>
      </c>
      <c r="K121" s="8">
        <f t="shared" si="5"/>
        <v>100</v>
      </c>
    </row>
    <row r="122" spans="1:11" x14ac:dyDescent="0.3">
      <c r="B122" s="1"/>
    </row>
    <row r="123" spans="1:11" x14ac:dyDescent="0.3">
      <c r="B123" s="1"/>
      <c r="E123" s="1"/>
    </row>
    <row r="124" spans="1:11" x14ac:dyDescent="0.3">
      <c r="B124" s="1"/>
    </row>
    <row r="125" spans="1:11" x14ac:dyDescent="0.3">
      <c r="B125" s="1"/>
    </row>
    <row r="126" spans="1:11" x14ac:dyDescent="0.3">
      <c r="B126" s="1"/>
    </row>
    <row r="127" spans="1:11" x14ac:dyDescent="0.3">
      <c r="B127" s="1"/>
    </row>
    <row r="128" spans="1:11" x14ac:dyDescent="0.3">
      <c r="B128" s="1"/>
    </row>
    <row r="129" spans="2:5" x14ac:dyDescent="0.3">
      <c r="B129" s="1"/>
    </row>
    <row r="130" spans="2:5" x14ac:dyDescent="0.3">
      <c r="B130" s="1"/>
      <c r="E130" s="1"/>
    </row>
    <row r="131" spans="2:5" x14ac:dyDescent="0.3">
      <c r="B131" s="1"/>
    </row>
    <row r="132" spans="2:5" x14ac:dyDescent="0.3">
      <c r="B132" s="1"/>
    </row>
    <row r="133" spans="2:5" x14ac:dyDescent="0.3">
      <c r="B133" s="1"/>
    </row>
    <row r="134" spans="2:5" x14ac:dyDescent="0.3">
      <c r="B134"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7A84F-5DB0-4E5F-BB93-E2744EE5AA88}">
  <dimension ref="A1:N22"/>
  <sheetViews>
    <sheetView topLeftCell="A6" workbookViewId="0">
      <selection activeCell="E17" sqref="E17"/>
    </sheetView>
  </sheetViews>
  <sheetFormatPr defaultRowHeight="14.4" x14ac:dyDescent="0.3"/>
  <cols>
    <col min="1" max="1" width="11.6640625" bestFit="1" customWidth="1"/>
    <col min="2" max="2" width="17.44140625" customWidth="1"/>
    <col min="3" max="3" width="11.109375" bestFit="1" customWidth="1"/>
    <col min="4" max="4" width="8.44140625" bestFit="1" customWidth="1"/>
    <col min="5" max="5" width="14.5546875" bestFit="1" customWidth="1"/>
    <col min="6" max="6" width="13.109375" bestFit="1" customWidth="1"/>
    <col min="7" max="7" width="14.5546875" bestFit="1" customWidth="1"/>
    <col min="8" max="8" width="36.44140625" bestFit="1" customWidth="1"/>
  </cols>
  <sheetData>
    <row r="1" spans="1:14" ht="15" customHeight="1" x14ac:dyDescent="0.3">
      <c r="A1" s="24" t="s">
        <v>50</v>
      </c>
      <c r="B1" s="24"/>
      <c r="C1" s="24"/>
      <c r="D1" s="24"/>
      <c r="E1" s="24"/>
      <c r="F1" s="24"/>
      <c r="G1" s="24"/>
      <c r="H1" s="24"/>
    </row>
    <row r="2" spans="1:14" ht="15" customHeight="1" x14ac:dyDescent="0.3">
      <c r="A2" s="24"/>
      <c r="B2" s="24"/>
      <c r="C2" s="24"/>
      <c r="D2" s="24"/>
      <c r="E2" s="24"/>
      <c r="F2" s="24"/>
      <c r="G2" s="24"/>
      <c r="H2" s="24"/>
    </row>
    <row r="3" spans="1:14" ht="15" customHeight="1" x14ac:dyDescent="0.3">
      <c r="A3" s="24"/>
      <c r="B3" s="24"/>
      <c r="C3" s="24"/>
      <c r="D3" s="24"/>
      <c r="E3" s="24"/>
      <c r="F3" s="24"/>
      <c r="G3" s="24"/>
      <c r="H3" s="24"/>
    </row>
    <row r="4" spans="1:14" ht="15" customHeight="1" x14ac:dyDescent="0.3">
      <c r="A4" s="24"/>
      <c r="B4" s="24"/>
      <c r="C4" s="24"/>
      <c r="D4" s="24"/>
      <c r="E4" s="24"/>
      <c r="F4" s="24"/>
      <c r="G4" s="24"/>
      <c r="H4" s="24"/>
    </row>
    <row r="5" spans="1:14" ht="15" customHeight="1" x14ac:dyDescent="0.3">
      <c r="A5" s="24"/>
      <c r="B5" s="24"/>
      <c r="C5" s="24"/>
      <c r="D5" s="24"/>
      <c r="E5" s="24"/>
      <c r="F5" s="24"/>
      <c r="G5" s="24"/>
      <c r="H5" s="24"/>
    </row>
    <row r="6" spans="1:14" ht="15" customHeight="1" x14ac:dyDescent="0.3">
      <c r="A6" s="24"/>
      <c r="B6" s="24"/>
      <c r="C6" s="24"/>
      <c r="D6" s="24"/>
      <c r="E6" s="24"/>
      <c r="F6" s="24"/>
      <c r="G6" s="24"/>
      <c r="H6" s="24"/>
    </row>
    <row r="7" spans="1:14" ht="15" customHeight="1" x14ac:dyDescent="0.3">
      <c r="A7" s="24"/>
      <c r="B7" s="24"/>
      <c r="C7" s="24"/>
      <c r="D7" s="24"/>
      <c r="E7" s="24"/>
      <c r="F7" s="24"/>
      <c r="G7" s="24"/>
      <c r="H7" s="24"/>
    </row>
    <row r="8" spans="1:14" x14ac:dyDescent="0.3">
      <c r="A8" s="23" t="s">
        <v>53</v>
      </c>
      <c r="B8" s="23" t="s">
        <v>51</v>
      </c>
      <c r="C8" s="23" t="s">
        <v>46</v>
      </c>
      <c r="D8" s="23" t="s">
        <v>47</v>
      </c>
      <c r="E8" s="23" t="s">
        <v>36</v>
      </c>
      <c r="F8" s="23" t="s">
        <v>48</v>
      </c>
      <c r="G8" s="23" t="s">
        <v>52</v>
      </c>
      <c r="H8" s="23" t="s">
        <v>54</v>
      </c>
      <c r="I8" s="27"/>
      <c r="J8" s="27"/>
      <c r="K8" s="27"/>
      <c r="L8" s="27"/>
      <c r="M8" s="27"/>
      <c r="N8" s="27"/>
    </row>
    <row r="9" spans="1:14" x14ac:dyDescent="0.3">
      <c r="A9" s="23"/>
      <c r="B9" s="23"/>
      <c r="C9" s="23"/>
      <c r="D9" s="23"/>
      <c r="E9" s="23"/>
      <c r="F9" s="23"/>
      <c r="G9" s="23"/>
      <c r="H9" s="23"/>
      <c r="I9" s="27"/>
      <c r="J9" s="27"/>
      <c r="K9" s="27"/>
      <c r="L9" s="27"/>
      <c r="M9" s="27"/>
      <c r="N9" s="27"/>
    </row>
    <row r="10" spans="1:14" x14ac:dyDescent="0.3">
      <c r="A10" s="20">
        <v>102</v>
      </c>
      <c r="B10" s="20" t="str">
        <f>_xlfn.IFNA(VLOOKUP(A10,'RAW DATA'!A1:K121,7,FALSE),"")</f>
        <v>CAKE</v>
      </c>
      <c r="C10" s="20" t="str">
        <f>_xlfn.IFNA(VLOOKUP(A10,'RAW DATA'!A2:K121,6,FALSE),"")</f>
        <v>SOUTH</v>
      </c>
      <c r="D10" s="20">
        <f>_xlfn.IFNA(VLOOKUP(RECEIPT!A10,'RAW DATA'!A2:K121,9,FALSE),"")</f>
        <v>50</v>
      </c>
      <c r="E10" s="20">
        <v>5</v>
      </c>
      <c r="F10" s="21">
        <f>_xlfn.IFNA(D10*E10,"")</f>
        <v>250</v>
      </c>
      <c r="G10" s="22">
        <f>IF(F10&gt;=500,F10*10%,IF(F10&gt;=250,F10*5%,""))</f>
        <v>12.5</v>
      </c>
      <c r="H10" s="22">
        <f>IFERROR(F10-G10,"")</f>
        <v>237.5</v>
      </c>
    </row>
    <row r="11" spans="1:14" x14ac:dyDescent="0.3">
      <c r="A11" s="20">
        <v>103</v>
      </c>
      <c r="B11" s="20" t="str">
        <f>_xlfn.IFNA(VLOOKUP(A11,'RAW DATA'!A2:K122,7,FALSE),"")</f>
        <v>PIZZA</v>
      </c>
      <c r="C11" s="20" t="str">
        <f>_xlfn.IFNA(VLOOKUP(A11,'RAW DATA'!A3:K122,6,FALSE),"")</f>
        <v>WEST</v>
      </c>
      <c r="D11" s="20">
        <f>_xlfn.IFNA(VLOOKUP(RECEIPT!A11,'RAW DATA'!A3:K122,9,FALSE),"")</f>
        <v>100</v>
      </c>
      <c r="E11" s="20">
        <v>8</v>
      </c>
      <c r="F11" s="21">
        <f t="shared" ref="F11:F20" si="0">_xlfn.IFNA(D11*E11,"")</f>
        <v>800</v>
      </c>
      <c r="G11" s="21">
        <f t="shared" ref="G11" si="1">IF(F11&gt;=500,F11*10%,IF(F11&gt;=250,F11*5%,""))</f>
        <v>80</v>
      </c>
      <c r="H11" s="22">
        <f t="shared" ref="H11:H20" si="2">IFERROR(F11-G11,"")</f>
        <v>720</v>
      </c>
    </row>
    <row r="12" spans="1:14" x14ac:dyDescent="0.3">
      <c r="A12" s="20">
        <v>202</v>
      </c>
      <c r="B12" s="20" t="str">
        <f>_xlfn.IFNA(VLOOKUP(A12,'RAW DATA'!A3:K123,7,FALSE),"")</f>
        <v>PIZZA</v>
      </c>
      <c r="C12" s="20" t="str">
        <f>_xlfn.IFNA(VLOOKUP(A12,'RAW DATA'!A4:K123,6,FALSE),"")</f>
        <v>NORTH</v>
      </c>
      <c r="D12" s="20">
        <f>_xlfn.IFNA(VLOOKUP(RECEIPT!A12,'RAW DATA'!A4:K123,9,FALSE),"")</f>
        <v>100</v>
      </c>
      <c r="E12" s="20">
        <v>9</v>
      </c>
      <c r="F12" s="21">
        <f t="shared" si="0"/>
        <v>900</v>
      </c>
      <c r="G12" s="21">
        <f>IF(F12&gt;=500,F12*10%,IF(F12&gt;=250,F12*5%,""))</f>
        <v>90</v>
      </c>
      <c r="H12" s="22">
        <f t="shared" si="2"/>
        <v>810</v>
      </c>
    </row>
    <row r="13" spans="1:14" x14ac:dyDescent="0.3">
      <c r="A13" s="20">
        <v>204</v>
      </c>
      <c r="B13" s="20" t="str">
        <f>_xlfn.IFNA(VLOOKUP(A13,'RAW DATA'!A4:K124,7,FALSE),"")</f>
        <v>PASTRY</v>
      </c>
      <c r="C13" s="20" t="str">
        <f>_xlfn.IFNA(VLOOKUP(A13,'RAW DATA'!A5:K124,6,FALSE),"")</f>
        <v>WEST</v>
      </c>
      <c r="D13" s="20">
        <f>_xlfn.IFNA(VLOOKUP(RECEIPT!A13,'RAW DATA'!A5:K124,9,FALSE),"")</f>
        <v>40</v>
      </c>
      <c r="E13" s="20"/>
      <c r="F13" s="21">
        <f t="shared" si="0"/>
        <v>0</v>
      </c>
      <c r="G13" s="21" t="str">
        <f t="shared" ref="G13:G20" si="3">IF(F13&gt;=500,F13*10%,IF(F13&gt;=250,F13*5%,""))</f>
        <v/>
      </c>
      <c r="H13" s="22" t="str">
        <f t="shared" si="2"/>
        <v/>
      </c>
    </row>
    <row r="14" spans="1:14" x14ac:dyDescent="0.3">
      <c r="A14" s="20"/>
      <c r="B14" s="20" t="str">
        <f>_xlfn.IFNA(VLOOKUP(A14,'RAW DATA'!A5:K125,7,FALSE),"")</f>
        <v/>
      </c>
      <c r="C14" s="20" t="str">
        <f>_xlfn.IFNA(VLOOKUP(A14,'RAW DATA'!A6:K125,6,FALSE),"")</f>
        <v/>
      </c>
      <c r="D14" s="20" t="str">
        <f>_xlfn.IFNA(VLOOKUP(RECEIPT!A14,'RAW DATA'!A6:K125,9,FALSE),"")</f>
        <v/>
      </c>
      <c r="E14" s="20"/>
      <c r="F14" s="21" t="str">
        <f>IFERROR(D14*E14,"")</f>
        <v/>
      </c>
      <c r="G14" s="20"/>
      <c r="H14" s="22" t="str">
        <f t="shared" si="2"/>
        <v/>
      </c>
    </row>
    <row r="15" spans="1:14" x14ac:dyDescent="0.3">
      <c r="A15" s="20"/>
      <c r="B15" s="20" t="str">
        <f>_xlfn.IFNA(VLOOKUP(A15,'RAW DATA'!A6:K126,7,FALSE),"")</f>
        <v/>
      </c>
      <c r="C15" s="20" t="str">
        <f>_xlfn.IFNA(VLOOKUP(A15,'RAW DATA'!A7:K126,6,FALSE),"")</f>
        <v/>
      </c>
      <c r="D15" s="20" t="str">
        <f>_xlfn.IFNA(VLOOKUP(RECEIPT!A15,'RAW DATA'!A7:K126,9,FALSE),"")</f>
        <v/>
      </c>
      <c r="E15" s="20"/>
      <c r="F15" s="21" t="str">
        <f t="shared" ref="F15:F20" si="4">IFERROR(D15*E15,"")</f>
        <v/>
      </c>
      <c r="G15" s="20"/>
      <c r="H15" s="22" t="str">
        <f t="shared" si="2"/>
        <v/>
      </c>
    </row>
    <row r="16" spans="1:14" x14ac:dyDescent="0.3">
      <c r="A16" s="20"/>
      <c r="B16" s="20" t="str">
        <f>_xlfn.IFNA(VLOOKUP(A16,'RAW DATA'!A7:K127,7,FALSE),"")</f>
        <v/>
      </c>
      <c r="C16" s="20" t="str">
        <f>_xlfn.IFNA(VLOOKUP(A16,'RAW DATA'!A8:K127,6,FALSE),"")</f>
        <v/>
      </c>
      <c r="D16" s="20" t="str">
        <f>_xlfn.IFNA(VLOOKUP(RECEIPT!A16,'RAW DATA'!A8:K127,9,FALSE),"")</f>
        <v/>
      </c>
      <c r="E16" s="20"/>
      <c r="F16" s="21" t="str">
        <f t="shared" si="4"/>
        <v/>
      </c>
      <c r="G16" s="20"/>
      <c r="H16" s="22" t="str">
        <f t="shared" si="2"/>
        <v/>
      </c>
    </row>
    <row r="17" spans="1:8" x14ac:dyDescent="0.3">
      <c r="A17" s="20"/>
      <c r="B17" s="20" t="str">
        <f>_xlfn.IFNA(VLOOKUP(A17,'RAW DATA'!A8:K128,7,FALSE),"")</f>
        <v/>
      </c>
      <c r="C17" s="20" t="str">
        <f>_xlfn.IFNA(VLOOKUP(A17,'RAW DATA'!A9:K128,6,FALSE),"")</f>
        <v/>
      </c>
      <c r="D17" s="20" t="str">
        <f>_xlfn.IFNA(VLOOKUP(RECEIPT!A17,'RAW DATA'!A9:K128,9,FALSE),"")</f>
        <v/>
      </c>
      <c r="E17" s="20"/>
      <c r="F17" s="21" t="str">
        <f t="shared" si="4"/>
        <v/>
      </c>
      <c r="G17" s="20"/>
      <c r="H17" s="22" t="str">
        <f t="shared" si="2"/>
        <v/>
      </c>
    </row>
    <row r="18" spans="1:8" x14ac:dyDescent="0.3">
      <c r="A18" s="20"/>
      <c r="B18" s="20" t="str">
        <f>_xlfn.IFNA(VLOOKUP(A18,'RAW DATA'!A9:K129,7,FALSE),"")</f>
        <v/>
      </c>
      <c r="C18" s="20" t="str">
        <f>_xlfn.IFNA(VLOOKUP(A18,'RAW DATA'!A10:K129,6,FALSE),"")</f>
        <v/>
      </c>
      <c r="D18" s="20" t="str">
        <f>_xlfn.IFNA(VLOOKUP(RECEIPT!A18,'RAW DATA'!A10:K129,9,FALSE),"")</f>
        <v/>
      </c>
      <c r="E18" s="20"/>
      <c r="F18" s="21" t="str">
        <f t="shared" si="4"/>
        <v/>
      </c>
      <c r="G18" s="20"/>
      <c r="H18" s="22" t="str">
        <f t="shared" si="2"/>
        <v/>
      </c>
    </row>
    <row r="19" spans="1:8" x14ac:dyDescent="0.3">
      <c r="A19" s="20"/>
      <c r="B19" s="20" t="str">
        <f>_xlfn.IFNA(VLOOKUP(A19,'RAW DATA'!A10:K130,7,FALSE),"")</f>
        <v/>
      </c>
      <c r="C19" s="20" t="str">
        <f>_xlfn.IFNA(VLOOKUP(A19,'RAW DATA'!A11:K130,6,FALSE),"")</f>
        <v/>
      </c>
      <c r="D19" s="20" t="str">
        <f>_xlfn.IFNA(VLOOKUP(RECEIPT!A19,'RAW DATA'!A11:K130,9,FALSE),"")</f>
        <v/>
      </c>
      <c r="E19" s="20"/>
      <c r="F19" s="21" t="str">
        <f t="shared" si="4"/>
        <v/>
      </c>
      <c r="G19" s="20"/>
      <c r="H19" s="22" t="str">
        <f t="shared" si="2"/>
        <v/>
      </c>
    </row>
    <row r="20" spans="1:8" x14ac:dyDescent="0.3">
      <c r="A20" s="20"/>
      <c r="B20" s="20" t="str">
        <f>_xlfn.IFNA(VLOOKUP(A20,'RAW DATA'!A11:K131,7,FALSE),"")</f>
        <v/>
      </c>
      <c r="C20" s="20" t="str">
        <f>_xlfn.IFNA(VLOOKUP(A20,'RAW DATA'!A12:K131,6,FALSE),"")</f>
        <v/>
      </c>
      <c r="D20" s="20" t="str">
        <f>_xlfn.IFNA(VLOOKUP(RECEIPT!A20,'RAW DATA'!A12:K131,9,FALSE),"")</f>
        <v/>
      </c>
      <c r="E20" s="20"/>
      <c r="F20" s="21" t="str">
        <f t="shared" si="4"/>
        <v/>
      </c>
      <c r="G20" s="20"/>
      <c r="H20" s="22" t="str">
        <f t="shared" si="2"/>
        <v/>
      </c>
    </row>
    <row r="21" spans="1:8" x14ac:dyDescent="0.3">
      <c r="A21" s="25" t="s">
        <v>49</v>
      </c>
      <c r="B21" s="25"/>
      <c r="C21" s="25"/>
      <c r="D21" s="25"/>
      <c r="E21" s="25"/>
      <c r="F21" s="25"/>
      <c r="G21" s="25"/>
      <c r="H21" s="26">
        <f>SUM(H10:H20)</f>
        <v>1767.5</v>
      </c>
    </row>
    <row r="22" spans="1:8" x14ac:dyDescent="0.3">
      <c r="A22" s="25"/>
      <c r="B22" s="25"/>
      <c r="C22" s="25"/>
      <c r="D22" s="25"/>
      <c r="E22" s="25"/>
      <c r="F22" s="25"/>
      <c r="G22" s="25"/>
      <c r="H22" s="26"/>
    </row>
  </sheetData>
  <mergeCells count="17">
    <mergeCell ref="I8:I9"/>
    <mergeCell ref="B8:B9"/>
    <mergeCell ref="C8:C9"/>
    <mergeCell ref="J8:J9"/>
    <mergeCell ref="K8:K9"/>
    <mergeCell ref="L8:L9"/>
    <mergeCell ref="M8:M9"/>
    <mergeCell ref="N8:N9"/>
    <mergeCell ref="D8:D9"/>
    <mergeCell ref="A1:H7"/>
    <mergeCell ref="A21:G22"/>
    <mergeCell ref="H21:H22"/>
    <mergeCell ref="E8:E9"/>
    <mergeCell ref="A8:A9"/>
    <mergeCell ref="F8:F9"/>
    <mergeCell ref="G8:G9"/>
    <mergeCell ref="H8:H9"/>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showGridLines="0" showRowColHeaders="0" tabSelected="1" zoomScaleNormal="100" workbookViewId="0">
      <selection activeCell="V3" sqref="V3"/>
    </sheetView>
  </sheetViews>
  <sheetFormatPr defaultColWidth="8.88671875" defaultRowHeight="14.4" x14ac:dyDescent="0.3"/>
  <cols>
    <col min="1" max="16384" width="8.88671875" style="4"/>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CHART 1</vt:lpstr>
      <vt:lpstr>Sheet2</vt:lpstr>
      <vt:lpstr>Sheet3</vt:lpstr>
      <vt:lpstr>Sheet4</vt:lpstr>
      <vt:lpstr>Sheet5</vt:lpstr>
      <vt:lpstr>RAW DATA</vt:lpstr>
      <vt:lpstr>RECEIPT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Chitranshi Saxena</dc:creator>
  <cp:lastModifiedBy>Akshat Saxena</cp:lastModifiedBy>
  <dcterms:created xsi:type="dcterms:W3CDTF">2023-08-28T13:27:30Z</dcterms:created>
  <dcterms:modified xsi:type="dcterms:W3CDTF">2026-10-22T14:03:01Z</dcterms:modified>
</cp:coreProperties>
</file>